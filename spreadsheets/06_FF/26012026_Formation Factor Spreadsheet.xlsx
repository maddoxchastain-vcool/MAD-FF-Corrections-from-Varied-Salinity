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odp\Desktop\X501\Onshore\"/>
    </mc:Choice>
  </mc:AlternateContent>
  <xr:revisionPtr revIDLastSave="0" documentId="13_ncr:1_{374472B9-3279-44D1-80D0-7D9A497DEF5D}" xr6:coauthVersionLast="47" xr6:coauthVersionMax="47" xr10:uidLastSave="{00000000-0000-0000-0000-000000000000}"/>
  <bookViews>
    <workbookView xWindow="-108" yWindow="-108" windowWidth="23256" windowHeight="12456" activeTab="1" xr2:uid="{9198F071-1983-5C47-8350-8DB5A2F0E18F}"/>
  </bookViews>
  <sheets>
    <sheet name="Calibration" sheetId="6" r:id="rId1"/>
    <sheet name="Data Entry" sheetId="1" r:id="rId2"/>
    <sheet name="Depth vlookup" sheetId="5" r:id="rId3"/>
    <sheet name="salinity data" sheetId="4" r:id="rId4"/>
    <sheet name="Temperature Corrections" sheetId="2" r:id="rId5"/>
    <sheet name="Salinity Corrections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67" i="1" l="1"/>
  <c r="H67" i="1"/>
  <c r="Q67" i="1"/>
  <c r="S67" i="1" s="1"/>
  <c r="U67" i="1" s="1"/>
  <c r="R67" i="1"/>
  <c r="T67" i="1" s="1"/>
  <c r="M67" i="1"/>
  <c r="Q66" i="1"/>
  <c r="S66" i="1" s="1"/>
  <c r="R66" i="1"/>
  <c r="T66" i="1" s="1"/>
  <c r="M66" i="1"/>
  <c r="I66" i="1"/>
  <c r="H66" i="1"/>
  <c r="I64" i="1"/>
  <c r="I65" i="1"/>
  <c r="M65" i="1"/>
  <c r="Q64" i="1"/>
  <c r="S64" i="1" s="1"/>
  <c r="R64" i="1"/>
  <c r="T64" i="1" s="1"/>
  <c r="Q65" i="1"/>
  <c r="S65" i="1" s="1"/>
  <c r="R65" i="1"/>
  <c r="T65" i="1" s="1"/>
  <c r="M64" i="1"/>
  <c r="H65" i="1"/>
  <c r="H64" i="1"/>
  <c r="Q62" i="1"/>
  <c r="S62" i="1" s="1"/>
  <c r="U62" i="1" s="1"/>
  <c r="R62" i="1"/>
  <c r="T62" i="1" s="1"/>
  <c r="Q63" i="1"/>
  <c r="S63" i="1" s="1"/>
  <c r="R63" i="1"/>
  <c r="T63" i="1" s="1"/>
  <c r="M63" i="1"/>
  <c r="M62" i="1"/>
  <c r="I62" i="1"/>
  <c r="I63" i="1"/>
  <c r="H63" i="1"/>
  <c r="H62" i="1"/>
  <c r="U66" i="1" l="1"/>
  <c r="U65" i="1"/>
  <c r="U64" i="1"/>
  <c r="U63" i="1"/>
  <c r="M61" i="1" l="1"/>
  <c r="Q60" i="1"/>
  <c r="S60" i="1" s="1"/>
  <c r="R60" i="1"/>
  <c r="T60" i="1" s="1"/>
  <c r="Q61" i="1"/>
  <c r="S61" i="1" s="1"/>
  <c r="R61" i="1"/>
  <c r="T61" i="1" s="1"/>
  <c r="M60" i="1"/>
  <c r="H61" i="1"/>
  <c r="I61" i="1" s="1"/>
  <c r="I60" i="1"/>
  <c r="H60" i="1"/>
  <c r="Q58" i="1"/>
  <c r="R58" i="1"/>
  <c r="S58" i="1"/>
  <c r="T58" i="1"/>
  <c r="U58" i="1" s="1"/>
  <c r="Q59" i="1"/>
  <c r="S59" i="1" s="1"/>
  <c r="U59" i="1" s="1"/>
  <c r="R59" i="1"/>
  <c r="T59" i="1"/>
  <c r="M59" i="1"/>
  <c r="M58" i="1"/>
  <c r="H59" i="1"/>
  <c r="I59" i="1" s="1"/>
  <c r="I58" i="1"/>
  <c r="H58" i="1"/>
  <c r="Q56" i="1"/>
  <c r="R56" i="1"/>
  <c r="T56" i="1" s="1"/>
  <c r="S56" i="1"/>
  <c r="U56" i="1" s="1"/>
  <c r="Q57" i="1"/>
  <c r="S57" i="1" s="1"/>
  <c r="U57" i="1" s="1"/>
  <c r="R57" i="1"/>
  <c r="T57" i="1" s="1"/>
  <c r="M57" i="1"/>
  <c r="M56" i="1"/>
  <c r="H56" i="1"/>
  <c r="I56" i="1" s="1"/>
  <c r="H57" i="1"/>
  <c r="I57" i="1" s="1"/>
  <c r="M55" i="1"/>
  <c r="R55" i="1"/>
  <c r="T55" i="1" s="1"/>
  <c r="Q55" i="1"/>
  <c r="S55" i="1" s="1"/>
  <c r="R54" i="1"/>
  <c r="T54" i="1" s="1"/>
  <c r="Q54" i="1"/>
  <c r="S54" i="1" s="1"/>
  <c r="M54" i="1"/>
  <c r="H55" i="1"/>
  <c r="I55" i="1" s="1"/>
  <c r="H52" i="1"/>
  <c r="H53" i="1"/>
  <c r="H54" i="1"/>
  <c r="I54" i="1"/>
  <c r="M53" i="1"/>
  <c r="M52" i="1"/>
  <c r="Q50" i="1"/>
  <c r="S50" i="1" s="1"/>
  <c r="R50" i="1"/>
  <c r="T50" i="1" s="1"/>
  <c r="Q51" i="1"/>
  <c r="S51" i="1" s="1"/>
  <c r="R51" i="1"/>
  <c r="T51" i="1" s="1"/>
  <c r="M51" i="1"/>
  <c r="M50" i="1"/>
  <c r="I50" i="1"/>
  <c r="I51" i="1"/>
  <c r="H51" i="1"/>
  <c r="H50" i="1"/>
  <c r="R49" i="1"/>
  <c r="T49" i="1" s="1"/>
  <c r="Q49" i="1"/>
  <c r="S49" i="1" s="1"/>
  <c r="M49" i="1"/>
  <c r="H49" i="1"/>
  <c r="I49" i="1" s="1"/>
  <c r="R48" i="1"/>
  <c r="T48" i="1" s="1"/>
  <c r="Q48" i="1"/>
  <c r="S48" i="1" s="1"/>
  <c r="M48" i="1"/>
  <c r="H48" i="1"/>
  <c r="I48" i="1" s="1"/>
  <c r="Q46" i="1"/>
  <c r="S46" i="1" s="1"/>
  <c r="U46" i="1" s="1"/>
  <c r="R46" i="1"/>
  <c r="T46" i="1" s="1"/>
  <c r="Q47" i="1"/>
  <c r="S47" i="1" s="1"/>
  <c r="R47" i="1"/>
  <c r="T47" i="1" s="1"/>
  <c r="I46" i="1"/>
  <c r="I47" i="1"/>
  <c r="M47" i="1"/>
  <c r="H47" i="1"/>
  <c r="M46" i="1"/>
  <c r="H46" i="1"/>
  <c r="M45" i="1"/>
  <c r="Q44" i="1"/>
  <c r="S44" i="1" s="1"/>
  <c r="R44" i="1"/>
  <c r="T44" i="1" s="1"/>
  <c r="Q45" i="1"/>
  <c r="S45" i="1" s="1"/>
  <c r="R45" i="1"/>
  <c r="T45" i="1" s="1"/>
  <c r="M44" i="1"/>
  <c r="H45" i="1"/>
  <c r="I45" i="1" s="1"/>
  <c r="I44" i="1"/>
  <c r="H44" i="1"/>
  <c r="U60" i="1" l="1"/>
  <c r="U61" i="1"/>
  <c r="U54" i="1"/>
  <c r="U55" i="1"/>
  <c r="U51" i="1"/>
  <c r="U50" i="1"/>
  <c r="U49" i="1"/>
  <c r="U48" i="1"/>
  <c r="U47" i="1"/>
  <c r="U45" i="1"/>
  <c r="U44" i="1"/>
  <c r="M43" i="1" l="1"/>
  <c r="M42" i="1"/>
  <c r="Q42" i="1"/>
  <c r="R42" i="1"/>
  <c r="T42" i="1" s="1"/>
  <c r="U42" i="1" s="1"/>
  <c r="S42" i="1"/>
  <c r="Q43" i="1"/>
  <c r="S43" i="1" s="1"/>
  <c r="R43" i="1"/>
  <c r="T43" i="1" s="1"/>
  <c r="H43" i="1"/>
  <c r="I43" i="1" s="1"/>
  <c r="I42" i="1"/>
  <c r="H42" i="1"/>
  <c r="M41" i="1"/>
  <c r="Q40" i="1"/>
  <c r="R40" i="1"/>
  <c r="S40" i="1"/>
  <c r="T40" i="1"/>
  <c r="Q41" i="1"/>
  <c r="S41" i="1" s="1"/>
  <c r="R41" i="1"/>
  <c r="T41" i="1" s="1"/>
  <c r="M40" i="1"/>
  <c r="H41" i="1"/>
  <c r="I41" i="1" s="1"/>
  <c r="I40" i="1"/>
  <c r="H40" i="1"/>
  <c r="Q38" i="1"/>
  <c r="R38" i="1"/>
  <c r="S38" i="1"/>
  <c r="U38" i="1" s="1"/>
  <c r="T38" i="1"/>
  <c r="Q39" i="1"/>
  <c r="S39" i="1" s="1"/>
  <c r="U39" i="1" s="1"/>
  <c r="R39" i="1"/>
  <c r="T39" i="1" s="1"/>
  <c r="M38" i="1"/>
  <c r="M39" i="1"/>
  <c r="I38" i="1"/>
  <c r="I39" i="1"/>
  <c r="H39" i="1"/>
  <c r="H38" i="1"/>
  <c r="M37" i="1"/>
  <c r="M36" i="1"/>
  <c r="Q36" i="1"/>
  <c r="R36" i="1"/>
  <c r="T36" i="1" s="1"/>
  <c r="U36" i="1" s="1"/>
  <c r="S36" i="1"/>
  <c r="Q37" i="1"/>
  <c r="S37" i="1" s="1"/>
  <c r="R37" i="1"/>
  <c r="T37" i="1" s="1"/>
  <c r="U37" i="1" s="1"/>
  <c r="I36" i="1"/>
  <c r="I37" i="1"/>
  <c r="H37" i="1"/>
  <c r="H36" i="1"/>
  <c r="M35" i="1"/>
  <c r="Q34" i="1"/>
  <c r="R34" i="1"/>
  <c r="S34" i="1"/>
  <c r="T34" i="1"/>
  <c r="Q35" i="1"/>
  <c r="S35" i="1" s="1"/>
  <c r="R35" i="1"/>
  <c r="T35" i="1" s="1"/>
  <c r="M34" i="1"/>
  <c r="I34" i="1"/>
  <c r="I35" i="1"/>
  <c r="H35" i="1"/>
  <c r="H34" i="1"/>
  <c r="Q32" i="1"/>
  <c r="R32" i="1"/>
  <c r="S32" i="1"/>
  <c r="T32" i="1"/>
  <c r="U32" i="1" s="1"/>
  <c r="Q33" i="1"/>
  <c r="S33" i="1" s="1"/>
  <c r="R33" i="1"/>
  <c r="T33" i="1" s="1"/>
  <c r="M33" i="1"/>
  <c r="I33" i="1"/>
  <c r="H33" i="1"/>
  <c r="M32" i="1"/>
  <c r="I32" i="1"/>
  <c r="H32" i="1"/>
  <c r="M31" i="1"/>
  <c r="M30" i="1"/>
  <c r="Q30" i="1"/>
  <c r="R30" i="1"/>
  <c r="T30" i="1" s="1"/>
  <c r="S30" i="1"/>
  <c r="Q31" i="1"/>
  <c r="S31" i="1" s="1"/>
  <c r="R31" i="1"/>
  <c r="T31" i="1" s="1"/>
  <c r="H31" i="1"/>
  <c r="I31" i="1" s="1"/>
  <c r="I30" i="1"/>
  <c r="H30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" i="1"/>
  <c r="Q5" i="1"/>
  <c r="R5" i="1"/>
  <c r="Q6" i="1"/>
  <c r="R6" i="1"/>
  <c r="Q7" i="1"/>
  <c r="R7" i="1"/>
  <c r="Q8" i="1"/>
  <c r="R8" i="1"/>
  <c r="Q9" i="1"/>
  <c r="R9" i="1"/>
  <c r="Q10" i="1"/>
  <c r="R10" i="1"/>
  <c r="Q11" i="1"/>
  <c r="R11" i="1"/>
  <c r="Q12" i="1"/>
  <c r="R12" i="1"/>
  <c r="Q13" i="1"/>
  <c r="R13" i="1"/>
  <c r="Q14" i="1"/>
  <c r="R14" i="1"/>
  <c r="Q15" i="1"/>
  <c r="R15" i="1"/>
  <c r="Q16" i="1"/>
  <c r="R16" i="1"/>
  <c r="Q17" i="1"/>
  <c r="R17" i="1"/>
  <c r="Q18" i="1"/>
  <c r="R18" i="1"/>
  <c r="Q19" i="1"/>
  <c r="R19" i="1"/>
  <c r="Q20" i="1"/>
  <c r="R20" i="1"/>
  <c r="Q21" i="1"/>
  <c r="R21" i="1"/>
  <c r="Q22" i="1"/>
  <c r="R22" i="1"/>
  <c r="Q23" i="1"/>
  <c r="R23" i="1"/>
  <c r="Q24" i="1"/>
  <c r="R24" i="1"/>
  <c r="Q25" i="1"/>
  <c r="R25" i="1"/>
  <c r="Q26" i="1"/>
  <c r="R26" i="1"/>
  <c r="Q27" i="1"/>
  <c r="R27" i="1"/>
  <c r="Q28" i="1"/>
  <c r="R28" i="1"/>
  <c r="Q29" i="1"/>
  <c r="R29" i="1"/>
  <c r="R4" i="1"/>
  <c r="R3" i="1"/>
  <c r="Q4" i="1"/>
  <c r="Q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" i="1"/>
  <c r="G1049" i="5"/>
  <c r="G1048" i="5"/>
  <c r="G1047" i="5"/>
  <c r="G1046" i="5"/>
  <c r="G1045" i="5"/>
  <c r="G1044" i="5"/>
  <c r="G1043" i="5"/>
  <c r="G1042" i="5"/>
  <c r="G1041" i="5"/>
  <c r="G1040" i="5"/>
  <c r="G1039" i="5"/>
  <c r="G1038" i="5"/>
  <c r="G1037" i="5"/>
  <c r="G1036" i="5"/>
  <c r="G1035" i="5"/>
  <c r="G1034" i="5"/>
  <c r="G1033" i="5"/>
  <c r="G1032" i="5"/>
  <c r="G1031" i="5"/>
  <c r="G1030" i="5"/>
  <c r="G1029" i="5"/>
  <c r="G1028" i="5"/>
  <c r="G1027" i="5"/>
  <c r="G1026" i="5"/>
  <c r="G1025" i="5"/>
  <c r="G1024" i="5"/>
  <c r="G1023" i="5"/>
  <c r="G1022" i="5"/>
  <c r="G1021" i="5"/>
  <c r="G1020" i="5"/>
  <c r="G1019" i="5"/>
  <c r="G1018" i="5"/>
  <c r="G1017" i="5"/>
  <c r="G1016" i="5"/>
  <c r="G1015" i="5"/>
  <c r="G1014" i="5"/>
  <c r="G1013" i="5"/>
  <c r="G1012" i="5"/>
  <c r="G1011" i="5"/>
  <c r="G1010" i="5"/>
  <c r="G1009" i="5"/>
  <c r="G1008" i="5"/>
  <c r="G1007" i="5"/>
  <c r="G1006" i="5"/>
  <c r="G1005" i="5"/>
  <c r="G1004" i="5"/>
  <c r="G1003" i="5"/>
  <c r="G1002" i="5"/>
  <c r="G1001" i="5"/>
  <c r="G1000" i="5"/>
  <c r="G999" i="5"/>
  <c r="G998" i="5"/>
  <c r="G997" i="5"/>
  <c r="G996" i="5"/>
  <c r="G995" i="5"/>
  <c r="G994" i="5"/>
  <c r="G993" i="5"/>
  <c r="G992" i="5"/>
  <c r="G991" i="5"/>
  <c r="G990" i="5"/>
  <c r="G989" i="5"/>
  <c r="G988" i="5"/>
  <c r="G987" i="5"/>
  <c r="G986" i="5"/>
  <c r="G985" i="5"/>
  <c r="G984" i="5"/>
  <c r="G983" i="5"/>
  <c r="G982" i="5"/>
  <c r="G981" i="5"/>
  <c r="G980" i="5"/>
  <c r="G979" i="5"/>
  <c r="G978" i="5"/>
  <c r="G977" i="5"/>
  <c r="G976" i="5"/>
  <c r="G975" i="5"/>
  <c r="G974" i="5"/>
  <c r="G973" i="5"/>
  <c r="G972" i="5"/>
  <c r="G971" i="5"/>
  <c r="G970" i="5"/>
  <c r="G969" i="5"/>
  <c r="G968" i="5"/>
  <c r="G967" i="5"/>
  <c r="G966" i="5"/>
  <c r="G965" i="5"/>
  <c r="G964" i="5"/>
  <c r="G963" i="5"/>
  <c r="G962" i="5"/>
  <c r="G961" i="5"/>
  <c r="G960" i="5"/>
  <c r="G959" i="5"/>
  <c r="G958" i="5"/>
  <c r="G957" i="5"/>
  <c r="G956" i="5"/>
  <c r="G955" i="5"/>
  <c r="G954" i="5"/>
  <c r="G953" i="5"/>
  <c r="G952" i="5"/>
  <c r="G951" i="5"/>
  <c r="G950" i="5"/>
  <c r="G949" i="5"/>
  <c r="G948" i="5"/>
  <c r="G947" i="5"/>
  <c r="G946" i="5"/>
  <c r="G945" i="5"/>
  <c r="G944" i="5"/>
  <c r="G943" i="5"/>
  <c r="G942" i="5"/>
  <c r="G941" i="5"/>
  <c r="G940" i="5"/>
  <c r="G939" i="5"/>
  <c r="G938" i="5"/>
  <c r="G937" i="5"/>
  <c r="G936" i="5"/>
  <c r="G935" i="5"/>
  <c r="G934" i="5"/>
  <c r="G933" i="5"/>
  <c r="G932" i="5"/>
  <c r="G931" i="5"/>
  <c r="G930" i="5"/>
  <c r="G929" i="5"/>
  <c r="G928" i="5"/>
  <c r="G927" i="5"/>
  <c r="G926" i="5"/>
  <c r="G925" i="5"/>
  <c r="G924" i="5"/>
  <c r="G923" i="5"/>
  <c r="G922" i="5"/>
  <c r="G921" i="5"/>
  <c r="G920" i="5"/>
  <c r="G919" i="5"/>
  <c r="G918" i="5"/>
  <c r="G917" i="5"/>
  <c r="G916" i="5"/>
  <c r="G915" i="5"/>
  <c r="G914" i="5"/>
  <c r="G913" i="5"/>
  <c r="G912" i="5"/>
  <c r="G911" i="5"/>
  <c r="G910" i="5"/>
  <c r="G909" i="5"/>
  <c r="G908" i="5"/>
  <c r="G907" i="5"/>
  <c r="G906" i="5"/>
  <c r="G905" i="5"/>
  <c r="G904" i="5"/>
  <c r="G903" i="5"/>
  <c r="G902" i="5"/>
  <c r="G901" i="5"/>
  <c r="G900" i="5"/>
  <c r="G899" i="5"/>
  <c r="G898" i="5"/>
  <c r="G897" i="5"/>
  <c r="G896" i="5"/>
  <c r="G895" i="5"/>
  <c r="G894" i="5"/>
  <c r="G893" i="5"/>
  <c r="G892" i="5"/>
  <c r="G891" i="5"/>
  <c r="G890" i="5"/>
  <c r="G889" i="5"/>
  <c r="G888" i="5"/>
  <c r="G887" i="5"/>
  <c r="G886" i="5"/>
  <c r="G885" i="5"/>
  <c r="G884" i="5"/>
  <c r="G883" i="5"/>
  <c r="G882" i="5"/>
  <c r="G881" i="5"/>
  <c r="G880" i="5"/>
  <c r="G879" i="5"/>
  <c r="G878" i="5"/>
  <c r="G877" i="5"/>
  <c r="G876" i="5"/>
  <c r="G875" i="5"/>
  <c r="G874" i="5"/>
  <c r="G873" i="5"/>
  <c r="G872" i="5"/>
  <c r="G871" i="5"/>
  <c r="G870" i="5"/>
  <c r="G869" i="5"/>
  <c r="G868" i="5"/>
  <c r="G867" i="5"/>
  <c r="G866" i="5"/>
  <c r="G865" i="5"/>
  <c r="G864" i="5"/>
  <c r="G863" i="5"/>
  <c r="G862" i="5"/>
  <c r="G861" i="5"/>
  <c r="G860" i="5"/>
  <c r="G859" i="5"/>
  <c r="G858" i="5"/>
  <c r="G857" i="5"/>
  <c r="G856" i="5"/>
  <c r="G855" i="5"/>
  <c r="G854" i="5"/>
  <c r="G853" i="5"/>
  <c r="G852" i="5"/>
  <c r="G851" i="5"/>
  <c r="G850" i="5"/>
  <c r="G849" i="5"/>
  <c r="G848" i="5"/>
  <c r="G847" i="5"/>
  <c r="G846" i="5"/>
  <c r="G845" i="5"/>
  <c r="G844" i="5"/>
  <c r="G843" i="5"/>
  <c r="G842" i="5"/>
  <c r="G841" i="5"/>
  <c r="G840" i="5"/>
  <c r="G839" i="5"/>
  <c r="G838" i="5"/>
  <c r="G837" i="5"/>
  <c r="G836" i="5"/>
  <c r="G835" i="5"/>
  <c r="G834" i="5"/>
  <c r="G833" i="5"/>
  <c r="G832" i="5"/>
  <c r="G831" i="5"/>
  <c r="G830" i="5"/>
  <c r="G829" i="5"/>
  <c r="G828" i="5"/>
  <c r="G827" i="5"/>
  <c r="G826" i="5"/>
  <c r="G825" i="5"/>
  <c r="G824" i="5"/>
  <c r="G823" i="5"/>
  <c r="G822" i="5"/>
  <c r="G821" i="5"/>
  <c r="G820" i="5"/>
  <c r="G819" i="5"/>
  <c r="G818" i="5"/>
  <c r="G817" i="5"/>
  <c r="G816" i="5"/>
  <c r="G815" i="5"/>
  <c r="G814" i="5"/>
  <c r="G813" i="5"/>
  <c r="G812" i="5"/>
  <c r="G811" i="5"/>
  <c r="G810" i="5"/>
  <c r="G809" i="5"/>
  <c r="G808" i="5"/>
  <c r="G807" i="5"/>
  <c r="G806" i="5"/>
  <c r="G805" i="5"/>
  <c r="G804" i="5"/>
  <c r="G803" i="5"/>
  <c r="G802" i="5"/>
  <c r="G801" i="5"/>
  <c r="G800" i="5"/>
  <c r="G799" i="5"/>
  <c r="G798" i="5"/>
  <c r="G797" i="5"/>
  <c r="G796" i="5"/>
  <c r="G795" i="5"/>
  <c r="G794" i="5"/>
  <c r="G793" i="5"/>
  <c r="G792" i="5"/>
  <c r="G791" i="5"/>
  <c r="G790" i="5"/>
  <c r="G789" i="5"/>
  <c r="G788" i="5"/>
  <c r="G787" i="5"/>
  <c r="G786" i="5"/>
  <c r="G785" i="5"/>
  <c r="G784" i="5"/>
  <c r="G783" i="5"/>
  <c r="G782" i="5"/>
  <c r="G781" i="5"/>
  <c r="G780" i="5"/>
  <c r="G779" i="5"/>
  <c r="G778" i="5"/>
  <c r="G777" i="5"/>
  <c r="G776" i="5"/>
  <c r="G775" i="5"/>
  <c r="G774" i="5"/>
  <c r="G773" i="5"/>
  <c r="G772" i="5"/>
  <c r="G771" i="5"/>
  <c r="G770" i="5"/>
  <c r="G769" i="5"/>
  <c r="G768" i="5"/>
  <c r="G767" i="5"/>
  <c r="G766" i="5"/>
  <c r="G765" i="5"/>
  <c r="G764" i="5"/>
  <c r="G763" i="5"/>
  <c r="G762" i="5"/>
  <c r="G761" i="5"/>
  <c r="G760" i="5"/>
  <c r="G759" i="5"/>
  <c r="G758" i="5"/>
  <c r="G757" i="5"/>
  <c r="G756" i="5"/>
  <c r="G755" i="5"/>
  <c r="G754" i="5"/>
  <c r="G753" i="5"/>
  <c r="G752" i="5"/>
  <c r="G751" i="5"/>
  <c r="G750" i="5"/>
  <c r="G749" i="5"/>
  <c r="G748" i="5"/>
  <c r="G747" i="5"/>
  <c r="G746" i="5"/>
  <c r="G745" i="5"/>
  <c r="G744" i="5"/>
  <c r="G743" i="5"/>
  <c r="G742" i="5"/>
  <c r="G741" i="5"/>
  <c r="G740" i="5"/>
  <c r="G739" i="5"/>
  <c r="G738" i="5"/>
  <c r="G737" i="5"/>
  <c r="G736" i="5"/>
  <c r="G735" i="5"/>
  <c r="G734" i="5"/>
  <c r="G733" i="5"/>
  <c r="G732" i="5"/>
  <c r="G731" i="5"/>
  <c r="G730" i="5"/>
  <c r="G729" i="5"/>
  <c r="G728" i="5"/>
  <c r="G727" i="5"/>
  <c r="G726" i="5"/>
  <c r="G725" i="5"/>
  <c r="G724" i="5"/>
  <c r="G723" i="5"/>
  <c r="G722" i="5"/>
  <c r="G721" i="5"/>
  <c r="G720" i="5"/>
  <c r="G719" i="5"/>
  <c r="G718" i="5"/>
  <c r="G717" i="5"/>
  <c r="G716" i="5"/>
  <c r="G715" i="5"/>
  <c r="G714" i="5"/>
  <c r="G713" i="5"/>
  <c r="G712" i="5"/>
  <c r="G711" i="5"/>
  <c r="G710" i="5"/>
  <c r="G709" i="5"/>
  <c r="G708" i="5"/>
  <c r="G707" i="5"/>
  <c r="G706" i="5"/>
  <c r="G705" i="5"/>
  <c r="G704" i="5"/>
  <c r="G703" i="5"/>
  <c r="G702" i="5"/>
  <c r="G701" i="5"/>
  <c r="G700" i="5"/>
  <c r="G699" i="5"/>
  <c r="G698" i="5"/>
  <c r="G697" i="5"/>
  <c r="G696" i="5"/>
  <c r="G695" i="5"/>
  <c r="G694" i="5"/>
  <c r="G693" i="5"/>
  <c r="G692" i="5"/>
  <c r="G691" i="5"/>
  <c r="G690" i="5"/>
  <c r="G689" i="5"/>
  <c r="G688" i="5"/>
  <c r="G687" i="5"/>
  <c r="G686" i="5"/>
  <c r="G685" i="5"/>
  <c r="G684" i="5"/>
  <c r="G683" i="5"/>
  <c r="G682" i="5"/>
  <c r="G681" i="5"/>
  <c r="G680" i="5"/>
  <c r="G679" i="5"/>
  <c r="G678" i="5"/>
  <c r="G677" i="5"/>
  <c r="G676" i="5"/>
  <c r="G675" i="5"/>
  <c r="G674" i="5"/>
  <c r="G673" i="5"/>
  <c r="G672" i="5"/>
  <c r="G671" i="5"/>
  <c r="G670" i="5"/>
  <c r="G669" i="5"/>
  <c r="G668" i="5"/>
  <c r="G667" i="5"/>
  <c r="G666" i="5"/>
  <c r="G665" i="5"/>
  <c r="G664" i="5"/>
  <c r="G663" i="5"/>
  <c r="G662" i="5"/>
  <c r="G661" i="5"/>
  <c r="G660" i="5"/>
  <c r="G659" i="5"/>
  <c r="G658" i="5"/>
  <c r="G657" i="5"/>
  <c r="G656" i="5"/>
  <c r="G655" i="5"/>
  <c r="G654" i="5"/>
  <c r="G653" i="5"/>
  <c r="G652" i="5"/>
  <c r="G651" i="5"/>
  <c r="G650" i="5"/>
  <c r="G649" i="5"/>
  <c r="G648" i="5"/>
  <c r="G647" i="5"/>
  <c r="G646" i="5"/>
  <c r="G645" i="5"/>
  <c r="G644" i="5"/>
  <c r="G643" i="5"/>
  <c r="G642" i="5"/>
  <c r="G641" i="5"/>
  <c r="G640" i="5"/>
  <c r="G639" i="5"/>
  <c r="G638" i="5"/>
  <c r="G637" i="5"/>
  <c r="G636" i="5"/>
  <c r="G635" i="5"/>
  <c r="G634" i="5"/>
  <c r="G633" i="5"/>
  <c r="G632" i="5"/>
  <c r="G631" i="5"/>
  <c r="G630" i="5"/>
  <c r="G629" i="5"/>
  <c r="G628" i="5"/>
  <c r="G627" i="5"/>
  <c r="G626" i="5"/>
  <c r="G625" i="5"/>
  <c r="G624" i="5"/>
  <c r="G623" i="5"/>
  <c r="G622" i="5"/>
  <c r="G621" i="5"/>
  <c r="G620" i="5"/>
  <c r="G619" i="5"/>
  <c r="G618" i="5"/>
  <c r="G617" i="5"/>
  <c r="G616" i="5"/>
  <c r="G615" i="5"/>
  <c r="G614" i="5"/>
  <c r="G613" i="5"/>
  <c r="G612" i="5"/>
  <c r="G611" i="5"/>
  <c r="G610" i="5"/>
  <c r="G609" i="5"/>
  <c r="G608" i="5"/>
  <c r="G607" i="5"/>
  <c r="G606" i="5"/>
  <c r="G605" i="5"/>
  <c r="G604" i="5"/>
  <c r="G603" i="5"/>
  <c r="G602" i="5"/>
  <c r="G601" i="5"/>
  <c r="G600" i="5"/>
  <c r="G599" i="5"/>
  <c r="G598" i="5"/>
  <c r="G597" i="5"/>
  <c r="G596" i="5"/>
  <c r="G595" i="5"/>
  <c r="G594" i="5"/>
  <c r="G593" i="5"/>
  <c r="G592" i="5"/>
  <c r="G591" i="5"/>
  <c r="G590" i="5"/>
  <c r="G589" i="5"/>
  <c r="G588" i="5"/>
  <c r="G587" i="5"/>
  <c r="G586" i="5"/>
  <c r="G585" i="5"/>
  <c r="G584" i="5"/>
  <c r="G583" i="5"/>
  <c r="G582" i="5"/>
  <c r="G581" i="5"/>
  <c r="G580" i="5"/>
  <c r="G579" i="5"/>
  <c r="G578" i="5"/>
  <c r="G577" i="5"/>
  <c r="G576" i="5"/>
  <c r="G575" i="5"/>
  <c r="G574" i="5"/>
  <c r="G573" i="5"/>
  <c r="G572" i="5"/>
  <c r="G571" i="5"/>
  <c r="G570" i="5"/>
  <c r="G569" i="5"/>
  <c r="G568" i="5"/>
  <c r="G567" i="5"/>
  <c r="G566" i="5"/>
  <c r="G565" i="5"/>
  <c r="G564" i="5"/>
  <c r="G563" i="5"/>
  <c r="G562" i="5"/>
  <c r="G561" i="5"/>
  <c r="G560" i="5"/>
  <c r="G559" i="5"/>
  <c r="G558" i="5"/>
  <c r="G557" i="5"/>
  <c r="G556" i="5"/>
  <c r="G555" i="5"/>
  <c r="G554" i="5"/>
  <c r="G553" i="5"/>
  <c r="G552" i="5"/>
  <c r="G551" i="5"/>
  <c r="G550" i="5"/>
  <c r="G549" i="5"/>
  <c r="G548" i="5"/>
  <c r="G547" i="5"/>
  <c r="G546" i="5"/>
  <c r="G545" i="5"/>
  <c r="G544" i="5"/>
  <c r="G543" i="5"/>
  <c r="G542" i="5"/>
  <c r="G541" i="5"/>
  <c r="G540" i="5"/>
  <c r="G539" i="5"/>
  <c r="G538" i="5"/>
  <c r="G537" i="5"/>
  <c r="G536" i="5"/>
  <c r="G535" i="5"/>
  <c r="G534" i="5"/>
  <c r="G533" i="5"/>
  <c r="G532" i="5"/>
  <c r="G531" i="5"/>
  <c r="G530" i="5"/>
  <c r="G529" i="5"/>
  <c r="G528" i="5"/>
  <c r="G527" i="5"/>
  <c r="G526" i="5"/>
  <c r="G525" i="5"/>
  <c r="G524" i="5"/>
  <c r="G523" i="5"/>
  <c r="G522" i="5"/>
  <c r="G521" i="5"/>
  <c r="G520" i="5"/>
  <c r="G519" i="5"/>
  <c r="G518" i="5"/>
  <c r="G517" i="5"/>
  <c r="G516" i="5"/>
  <c r="G515" i="5"/>
  <c r="G514" i="5"/>
  <c r="G513" i="5"/>
  <c r="G512" i="5"/>
  <c r="G511" i="5"/>
  <c r="G510" i="5"/>
  <c r="G509" i="5"/>
  <c r="G508" i="5"/>
  <c r="G507" i="5"/>
  <c r="G506" i="5"/>
  <c r="G505" i="5"/>
  <c r="G504" i="5"/>
  <c r="G503" i="5"/>
  <c r="G502" i="5"/>
  <c r="G501" i="5"/>
  <c r="G500" i="5"/>
  <c r="G499" i="5"/>
  <c r="G498" i="5"/>
  <c r="G497" i="5"/>
  <c r="G496" i="5"/>
  <c r="G495" i="5"/>
  <c r="G494" i="5"/>
  <c r="G493" i="5"/>
  <c r="G492" i="5"/>
  <c r="G491" i="5"/>
  <c r="G490" i="5"/>
  <c r="G489" i="5"/>
  <c r="G488" i="5"/>
  <c r="G487" i="5"/>
  <c r="G486" i="5"/>
  <c r="G485" i="5"/>
  <c r="G484" i="5"/>
  <c r="G483" i="5"/>
  <c r="G482" i="5"/>
  <c r="G481" i="5"/>
  <c r="G480" i="5"/>
  <c r="G479" i="5"/>
  <c r="G478" i="5"/>
  <c r="G477" i="5"/>
  <c r="G476" i="5"/>
  <c r="G475" i="5"/>
  <c r="G474" i="5"/>
  <c r="G473" i="5"/>
  <c r="G472" i="5"/>
  <c r="G471" i="5"/>
  <c r="G470" i="5"/>
  <c r="G469" i="5"/>
  <c r="G468" i="5"/>
  <c r="G467" i="5"/>
  <c r="G466" i="5"/>
  <c r="G465" i="5"/>
  <c r="G464" i="5"/>
  <c r="G463" i="5"/>
  <c r="G462" i="5"/>
  <c r="G461" i="5"/>
  <c r="G460" i="5"/>
  <c r="G459" i="5"/>
  <c r="G458" i="5"/>
  <c r="G457" i="5"/>
  <c r="G456" i="5"/>
  <c r="G455" i="5"/>
  <c r="G454" i="5"/>
  <c r="G453" i="5"/>
  <c r="G452" i="5"/>
  <c r="G451" i="5"/>
  <c r="G450" i="5"/>
  <c r="G449" i="5"/>
  <c r="G448" i="5"/>
  <c r="G447" i="5"/>
  <c r="G446" i="5"/>
  <c r="G445" i="5"/>
  <c r="G444" i="5"/>
  <c r="G443" i="5"/>
  <c r="G442" i="5"/>
  <c r="G441" i="5"/>
  <c r="G440" i="5"/>
  <c r="G439" i="5"/>
  <c r="G438" i="5"/>
  <c r="G437" i="5"/>
  <c r="G436" i="5"/>
  <c r="G435" i="5"/>
  <c r="G434" i="5"/>
  <c r="G433" i="5"/>
  <c r="G432" i="5"/>
  <c r="G431" i="5"/>
  <c r="G430" i="5"/>
  <c r="G429" i="5"/>
  <c r="G428" i="5"/>
  <c r="G427" i="5"/>
  <c r="G426" i="5"/>
  <c r="G425" i="5"/>
  <c r="G424" i="5"/>
  <c r="G423" i="5"/>
  <c r="G422" i="5"/>
  <c r="G421" i="5"/>
  <c r="G420" i="5"/>
  <c r="G419" i="5"/>
  <c r="G418" i="5"/>
  <c r="G417" i="5"/>
  <c r="G416" i="5"/>
  <c r="G415" i="5"/>
  <c r="G414" i="5"/>
  <c r="G413" i="5"/>
  <c r="G412" i="5"/>
  <c r="G411" i="5"/>
  <c r="G410" i="5"/>
  <c r="G409" i="5"/>
  <c r="G408" i="5"/>
  <c r="G407" i="5"/>
  <c r="G406" i="5"/>
  <c r="G405" i="5"/>
  <c r="G404" i="5"/>
  <c r="G403" i="5"/>
  <c r="G402" i="5"/>
  <c r="G401" i="5"/>
  <c r="G400" i="5"/>
  <c r="G399" i="5"/>
  <c r="G398" i="5"/>
  <c r="G397" i="5"/>
  <c r="G396" i="5"/>
  <c r="G395" i="5"/>
  <c r="G394" i="5"/>
  <c r="G393" i="5"/>
  <c r="G392" i="5"/>
  <c r="G391" i="5"/>
  <c r="G390" i="5"/>
  <c r="G389" i="5"/>
  <c r="G388" i="5"/>
  <c r="G387" i="5"/>
  <c r="G386" i="5"/>
  <c r="G385" i="5"/>
  <c r="G384" i="5"/>
  <c r="G383" i="5"/>
  <c r="G382" i="5"/>
  <c r="G381" i="5"/>
  <c r="G380" i="5"/>
  <c r="G379" i="5"/>
  <c r="G378" i="5"/>
  <c r="G377" i="5"/>
  <c r="G376" i="5"/>
  <c r="G375" i="5"/>
  <c r="G374" i="5"/>
  <c r="G373" i="5"/>
  <c r="G372" i="5"/>
  <c r="G371" i="5"/>
  <c r="G370" i="5"/>
  <c r="G369" i="5"/>
  <c r="G368" i="5"/>
  <c r="G367" i="5"/>
  <c r="G366" i="5"/>
  <c r="G365" i="5"/>
  <c r="G364" i="5"/>
  <c r="G363" i="5"/>
  <c r="G362" i="5"/>
  <c r="G361" i="5"/>
  <c r="G360" i="5"/>
  <c r="G359" i="5"/>
  <c r="G358" i="5"/>
  <c r="G357" i="5"/>
  <c r="G356" i="5"/>
  <c r="G355" i="5"/>
  <c r="G354" i="5"/>
  <c r="G353" i="5"/>
  <c r="G352" i="5"/>
  <c r="G351" i="5"/>
  <c r="G350" i="5"/>
  <c r="G349" i="5"/>
  <c r="G348" i="5"/>
  <c r="G347" i="5"/>
  <c r="G346" i="5"/>
  <c r="G345" i="5"/>
  <c r="G344" i="5"/>
  <c r="G343" i="5"/>
  <c r="G342" i="5"/>
  <c r="G341" i="5"/>
  <c r="G340" i="5"/>
  <c r="G339" i="5"/>
  <c r="G338" i="5"/>
  <c r="G337" i="5"/>
  <c r="G336" i="5"/>
  <c r="G335" i="5"/>
  <c r="G334" i="5"/>
  <c r="G333" i="5"/>
  <c r="G332" i="5"/>
  <c r="G331" i="5"/>
  <c r="G330" i="5"/>
  <c r="G329" i="5"/>
  <c r="G328" i="5"/>
  <c r="G327" i="5"/>
  <c r="G326" i="5"/>
  <c r="G325" i="5"/>
  <c r="G324" i="5"/>
  <c r="G323" i="5"/>
  <c r="G322" i="5"/>
  <c r="G321" i="5"/>
  <c r="G320" i="5"/>
  <c r="G319" i="5"/>
  <c r="G318" i="5"/>
  <c r="G317" i="5"/>
  <c r="G316" i="5"/>
  <c r="G315" i="5"/>
  <c r="G314" i="5"/>
  <c r="G313" i="5"/>
  <c r="G312" i="5"/>
  <c r="G311" i="5"/>
  <c r="G310" i="5"/>
  <c r="G309" i="5"/>
  <c r="G308" i="5"/>
  <c r="G307" i="5"/>
  <c r="G306" i="5"/>
  <c r="G305" i="5"/>
  <c r="G304" i="5"/>
  <c r="G303" i="5"/>
  <c r="G302" i="5"/>
  <c r="G301" i="5"/>
  <c r="G300" i="5"/>
  <c r="G299" i="5"/>
  <c r="G298" i="5"/>
  <c r="G297" i="5"/>
  <c r="G296" i="5"/>
  <c r="G295" i="5"/>
  <c r="G294" i="5"/>
  <c r="G293" i="5"/>
  <c r="G292" i="5"/>
  <c r="G291" i="5"/>
  <c r="G290" i="5"/>
  <c r="G289" i="5"/>
  <c r="G288" i="5"/>
  <c r="G287" i="5"/>
  <c r="G286" i="5"/>
  <c r="G285" i="5"/>
  <c r="G284" i="5"/>
  <c r="G283" i="5"/>
  <c r="G282" i="5"/>
  <c r="G281" i="5"/>
  <c r="G280" i="5"/>
  <c r="G279" i="5"/>
  <c r="G278" i="5"/>
  <c r="G277" i="5"/>
  <c r="G276" i="5"/>
  <c r="G275" i="5"/>
  <c r="G274" i="5"/>
  <c r="G273" i="5"/>
  <c r="G272" i="5"/>
  <c r="G271" i="5"/>
  <c r="G270" i="5"/>
  <c r="G269" i="5"/>
  <c r="G268" i="5"/>
  <c r="G267" i="5"/>
  <c r="G266" i="5"/>
  <c r="G265" i="5"/>
  <c r="G264" i="5"/>
  <c r="G263" i="5"/>
  <c r="G262" i="5"/>
  <c r="G261" i="5"/>
  <c r="G260" i="5"/>
  <c r="G259" i="5"/>
  <c r="G258" i="5"/>
  <c r="G257" i="5"/>
  <c r="G256" i="5"/>
  <c r="G255" i="5"/>
  <c r="G254" i="5"/>
  <c r="G253" i="5"/>
  <c r="G252" i="5"/>
  <c r="G251" i="5"/>
  <c r="G250" i="5"/>
  <c r="G249" i="5"/>
  <c r="G248" i="5"/>
  <c r="G247" i="5"/>
  <c r="G246" i="5"/>
  <c r="G245" i="5"/>
  <c r="G244" i="5"/>
  <c r="G243" i="5"/>
  <c r="G242" i="5"/>
  <c r="G241" i="5"/>
  <c r="G240" i="5"/>
  <c r="G239" i="5"/>
  <c r="G238" i="5"/>
  <c r="G237" i="5"/>
  <c r="G236" i="5"/>
  <c r="G235" i="5"/>
  <c r="G234" i="5"/>
  <c r="G233" i="5"/>
  <c r="G232" i="5"/>
  <c r="G231" i="5"/>
  <c r="G230" i="5"/>
  <c r="G229" i="5"/>
  <c r="G228" i="5"/>
  <c r="G227" i="5"/>
  <c r="G226" i="5"/>
  <c r="G225" i="5"/>
  <c r="G224" i="5"/>
  <c r="G223" i="5"/>
  <c r="G222" i="5"/>
  <c r="G221" i="5"/>
  <c r="G220" i="5"/>
  <c r="G219" i="5"/>
  <c r="G218" i="5"/>
  <c r="G217" i="5"/>
  <c r="G216" i="5"/>
  <c r="G215" i="5"/>
  <c r="G214" i="5"/>
  <c r="G213" i="5"/>
  <c r="G212" i="5"/>
  <c r="G211" i="5"/>
  <c r="G210" i="5"/>
  <c r="G209" i="5"/>
  <c r="G208" i="5"/>
  <c r="G207" i="5"/>
  <c r="G206" i="5"/>
  <c r="G205" i="5"/>
  <c r="G204" i="5"/>
  <c r="G203" i="5"/>
  <c r="G202" i="5"/>
  <c r="G201" i="5"/>
  <c r="G200" i="5"/>
  <c r="G199" i="5"/>
  <c r="G198" i="5"/>
  <c r="G197" i="5"/>
  <c r="G196" i="5"/>
  <c r="G195" i="5"/>
  <c r="G194" i="5"/>
  <c r="G193" i="5"/>
  <c r="G192" i="5"/>
  <c r="G191" i="5"/>
  <c r="G190" i="5"/>
  <c r="G189" i="5"/>
  <c r="G188" i="5"/>
  <c r="G187" i="5"/>
  <c r="G186" i="5"/>
  <c r="G185" i="5"/>
  <c r="G184" i="5"/>
  <c r="G183" i="5"/>
  <c r="G182" i="5"/>
  <c r="G181" i="5"/>
  <c r="G180" i="5"/>
  <c r="G179" i="5"/>
  <c r="G178" i="5"/>
  <c r="G177" i="5"/>
  <c r="G176" i="5"/>
  <c r="G175" i="5"/>
  <c r="G174" i="5"/>
  <c r="G173" i="5"/>
  <c r="G172" i="5"/>
  <c r="G171" i="5"/>
  <c r="G170" i="5"/>
  <c r="G169" i="5"/>
  <c r="G168" i="5"/>
  <c r="G167" i="5"/>
  <c r="G166" i="5"/>
  <c r="G165" i="5"/>
  <c r="G164" i="5"/>
  <c r="G163" i="5"/>
  <c r="G162" i="5"/>
  <c r="G161" i="5"/>
  <c r="G160" i="5"/>
  <c r="G159" i="5"/>
  <c r="G158" i="5"/>
  <c r="G157" i="5"/>
  <c r="G156" i="5"/>
  <c r="G155" i="5"/>
  <c r="G154" i="5"/>
  <c r="G153" i="5"/>
  <c r="G152" i="5"/>
  <c r="G151" i="5"/>
  <c r="G150" i="5"/>
  <c r="G149" i="5"/>
  <c r="G148" i="5"/>
  <c r="G147" i="5"/>
  <c r="G146" i="5"/>
  <c r="G145" i="5"/>
  <c r="G144" i="5"/>
  <c r="G143" i="5"/>
  <c r="G142" i="5"/>
  <c r="G141" i="5"/>
  <c r="G140" i="5"/>
  <c r="G139" i="5"/>
  <c r="G138" i="5"/>
  <c r="G137" i="5"/>
  <c r="G136" i="5"/>
  <c r="G135" i="5"/>
  <c r="G134" i="5"/>
  <c r="G133" i="5"/>
  <c r="G132" i="5"/>
  <c r="G131" i="5"/>
  <c r="G130" i="5"/>
  <c r="G129" i="5"/>
  <c r="G128" i="5"/>
  <c r="G127" i="5"/>
  <c r="G126" i="5"/>
  <c r="G125" i="5"/>
  <c r="G124" i="5"/>
  <c r="G123" i="5"/>
  <c r="G122" i="5"/>
  <c r="G121" i="5"/>
  <c r="G120" i="5"/>
  <c r="G119" i="5"/>
  <c r="G118" i="5"/>
  <c r="G117" i="5"/>
  <c r="G116" i="5"/>
  <c r="G115" i="5"/>
  <c r="G114" i="5"/>
  <c r="G113" i="5"/>
  <c r="G112" i="5"/>
  <c r="G111" i="5"/>
  <c r="G110" i="5"/>
  <c r="G109" i="5"/>
  <c r="G108" i="5"/>
  <c r="G107" i="5"/>
  <c r="G106" i="5"/>
  <c r="G105" i="5"/>
  <c r="G104" i="5"/>
  <c r="G103" i="5"/>
  <c r="G102" i="5"/>
  <c r="G101" i="5"/>
  <c r="G100" i="5"/>
  <c r="G99" i="5"/>
  <c r="G98" i="5"/>
  <c r="G97" i="5"/>
  <c r="G96" i="5"/>
  <c r="G95" i="5"/>
  <c r="G94" i="5"/>
  <c r="G9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G2" i="5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" i="1"/>
  <c r="P3" i="1"/>
  <c r="K23" i="3"/>
  <c r="I24" i="3"/>
  <c r="I23" i="3"/>
  <c r="I22" i="3"/>
  <c r="O16" i="3"/>
  <c r="O17" i="3"/>
  <c r="O18" i="3"/>
  <c r="O19" i="3"/>
  <c r="O15" i="3"/>
  <c r="L8" i="3"/>
  <c r="L4" i="3"/>
  <c r="I12" i="3" s="1"/>
  <c r="K16" i="3"/>
  <c r="K17" i="3"/>
  <c r="K18" i="3"/>
  <c r="K19" i="3"/>
  <c r="K15" i="3"/>
  <c r="L5" i="3"/>
  <c r="L6" i="3"/>
  <c r="L7" i="3"/>
  <c r="E11" i="3"/>
  <c r="D7" i="3"/>
  <c r="E7" i="3" s="1"/>
  <c r="C8" i="3"/>
  <c r="B8" i="3" s="1"/>
  <c r="D8" i="3" s="1"/>
  <c r="E8" i="3" s="1"/>
  <c r="C9" i="3"/>
  <c r="B9" i="3" s="1"/>
  <c r="D9" i="3" s="1"/>
  <c r="E9" i="3" s="1"/>
  <c r="C10" i="3"/>
  <c r="B10" i="3" s="1"/>
  <c r="D10" i="3" s="1"/>
  <c r="E10" i="3" s="1"/>
  <c r="C11" i="3"/>
  <c r="B11" i="3" s="1"/>
  <c r="C7" i="3"/>
  <c r="B7" i="3" s="1"/>
  <c r="D6" i="3"/>
  <c r="E6" i="3" s="1"/>
  <c r="A6" i="3"/>
  <c r="U43" i="1" l="1"/>
  <c r="U40" i="1"/>
  <c r="U41" i="1"/>
  <c r="U34" i="1"/>
  <c r="U35" i="1"/>
  <c r="U33" i="1"/>
  <c r="U31" i="1"/>
  <c r="U30" i="1"/>
  <c r="I11" i="3"/>
  <c r="I10" i="3"/>
  <c r="E13" i="3"/>
  <c r="G6" i="2"/>
  <c r="T3" i="1" l="1"/>
  <c r="P15" i="3"/>
  <c r="P16" i="3"/>
  <c r="P17" i="3"/>
  <c r="P19" i="3"/>
  <c r="P18" i="3"/>
  <c r="L16" i="3"/>
  <c r="L17" i="3"/>
  <c r="L15" i="3"/>
  <c r="L18" i="3"/>
  <c r="L19" i="3"/>
  <c r="U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tc={08D09F5D-FCFA-1042-8059-7094D8CC8525}</author>
    <author>tc={D1D4618B-19C1-AF4A-800C-0A30165A3E1E}</author>
  </authors>
  <commentList>
    <comment ref="P2" authorId="0" shapeId="0" xr:uid="{08D09F5D-FCFA-1042-8059-7094D8CC8525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 am unsure about whether these should be here during the data collection phase. I realize folks will want an instantaneous Formation Factor but I have concerns.</t>
        </r>
      </text>
    </comment>
    <comment ref="S2" authorId="1" shapeId="0" xr:uid="{D1D4618B-19C1-AF4A-800C-0A30165A3E1E}">
      <text>
        <r>
          <rPr>
            <sz val="12"/>
            <color theme="1"/>
            <rFont val="Aptos Narrow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We will determine this empirically with a dilution series. Will have to redo for newly platinized electrodes</t>
        </r>
      </text>
    </comment>
  </commentList>
</comments>
</file>

<file path=xl/sharedStrings.xml><?xml version="1.0" encoding="utf-8"?>
<sst xmlns="http://schemas.openxmlformats.org/spreadsheetml/2006/main" count="3432" uniqueCount="128">
  <si>
    <t>Interpolated salinity or Cl</t>
  </si>
  <si>
    <r>
      <t>F</t>
    </r>
    <r>
      <rPr>
        <vertAlign val="subscript"/>
        <sz val="11"/>
        <color rgb="FF000000"/>
        <rFont val="Verdana"/>
        <family val="2"/>
      </rPr>
      <t>a</t>
    </r>
    <r>
      <rPr>
        <sz val="13"/>
        <color rgb="FF000000"/>
        <rFont val="Verdana"/>
        <family val="2"/>
      </rPr>
      <t> = </t>
    </r>
    <r>
      <rPr>
        <i/>
        <sz val="13"/>
        <color rgb="FF000000"/>
        <rFont val="Verdana"/>
        <family val="2"/>
      </rPr>
      <t>R</t>
    </r>
    <r>
      <rPr>
        <vertAlign val="subscript"/>
        <sz val="11"/>
        <color rgb="FF000000"/>
        <rFont val="Verdana"/>
        <family val="2"/>
      </rPr>
      <t>e</t>
    </r>
    <r>
      <rPr>
        <sz val="13"/>
        <color rgb="FF000000"/>
        <rFont val="Verdana"/>
        <family val="2"/>
      </rPr>
      <t>/</t>
    </r>
    <r>
      <rPr>
        <i/>
        <sz val="13"/>
        <color rgb="FF000000"/>
        <rFont val="Verdana"/>
        <family val="2"/>
      </rPr>
      <t>R</t>
    </r>
    <r>
      <rPr>
        <vertAlign val="subscript"/>
        <sz val="11"/>
        <color rgb="FF000000"/>
        <rFont val="Verdana"/>
        <family val="2"/>
      </rPr>
      <t>f</t>
    </r>
    <r>
      <rPr>
        <sz val="13"/>
        <color rgb="FF000000"/>
        <rFont val="Verdana"/>
        <family val="2"/>
      </rPr>
      <t>.</t>
    </r>
  </si>
  <si>
    <r>
      <t>χ = a + b</t>
    </r>
    <r>
      <rPr>
        <i/>
        <sz val="10"/>
        <color rgb="FF000000"/>
        <rFont val="Verdana"/>
        <family val="2"/>
      </rPr>
      <t>T</t>
    </r>
    <r>
      <rPr>
        <sz val="10"/>
        <color rgb="FF000000"/>
        <rFont val="Verdana"/>
        <family val="2"/>
      </rPr>
      <t> + c</t>
    </r>
    <r>
      <rPr>
        <i/>
        <sz val="10"/>
        <color rgb="FF000000"/>
        <rFont val="Verdana"/>
        <family val="2"/>
      </rPr>
      <t>T</t>
    </r>
    <r>
      <rPr>
        <vertAlign val="superscript"/>
        <sz val="11"/>
        <color rgb="FF000000"/>
        <rFont val="Verdana"/>
        <family val="2"/>
      </rPr>
      <t>2</t>
    </r>
    <r>
      <rPr>
        <sz val="10"/>
        <color rgb="FF000000"/>
        <rFont val="Verdana"/>
        <family val="2"/>
      </rPr>
      <t> + d</t>
    </r>
    <r>
      <rPr>
        <i/>
        <sz val="10"/>
        <color rgb="FF000000"/>
        <rFont val="Verdana"/>
        <family val="2"/>
      </rPr>
      <t>T</t>
    </r>
    <r>
      <rPr>
        <vertAlign val="superscript"/>
        <sz val="11"/>
        <color rgb="FF000000"/>
        <rFont val="Verdana"/>
        <family val="2"/>
      </rPr>
      <t>3</t>
    </r>
    <r>
      <rPr>
        <sz val="10"/>
        <color rgb="FF000000"/>
        <rFont val="Verdana"/>
        <family val="2"/>
      </rPr>
      <t> + e</t>
    </r>
    <r>
      <rPr>
        <i/>
        <sz val="10"/>
        <color rgb="FF000000"/>
        <rFont val="Verdana"/>
        <family val="2"/>
      </rPr>
      <t>T</t>
    </r>
    <r>
      <rPr>
        <vertAlign val="superscript"/>
        <sz val="11"/>
        <color rgb="FF000000"/>
        <rFont val="Verdana"/>
        <family val="2"/>
      </rPr>
      <t>4</t>
    </r>
    <r>
      <rPr>
        <sz val="10"/>
        <color rgb="FF000000"/>
        <rFont val="Verdana"/>
        <family val="2"/>
      </rPr>
      <t> + f</t>
    </r>
    <r>
      <rPr>
        <i/>
        <sz val="10"/>
        <color rgb="FF000000"/>
        <rFont val="Verdana"/>
        <family val="2"/>
      </rPr>
      <t>T</t>
    </r>
    <r>
      <rPr>
        <vertAlign val="superscript"/>
        <sz val="11"/>
        <color rgb="FF000000"/>
        <rFont val="Verdana"/>
        <family val="2"/>
      </rPr>
      <t>5</t>
    </r>
    <r>
      <rPr>
        <sz val="10"/>
        <color rgb="FF000000"/>
        <rFont val="Verdana"/>
        <family val="2"/>
      </rPr>
      <t>,</t>
    </r>
  </si>
  <si>
    <t>where</t>
  </si>
  <si>
    <r>
      <t>The temperature corrected measurement, σ</t>
    </r>
    <r>
      <rPr>
        <vertAlign val="subscript"/>
        <sz val="11"/>
        <color rgb="FF000000"/>
        <rFont val="Verdana"/>
        <family val="2"/>
      </rPr>
      <t>T</t>
    </r>
    <r>
      <rPr>
        <sz val="13"/>
        <color rgb="FF000000"/>
        <rFont val="Verdana"/>
        <family val="2"/>
      </rPr>
      <t>, is given by</t>
    </r>
  </si>
  <si>
    <r>
      <t>F</t>
    </r>
    <r>
      <rPr>
        <sz val="10"/>
        <color rgb="FF000000"/>
        <rFont val="Verdana"/>
        <family val="2"/>
      </rPr>
      <t> = χ</t>
    </r>
    <r>
      <rPr>
        <vertAlign val="subscript"/>
        <sz val="11"/>
        <color rgb="FF000000"/>
        <rFont val="Verdana"/>
        <family val="2"/>
      </rPr>
      <t>sw</t>
    </r>
    <r>
      <rPr>
        <sz val="10"/>
        <color rgb="FF000000"/>
        <rFont val="Verdana"/>
        <family val="2"/>
      </rPr>
      <t>/χ</t>
    </r>
    <r>
      <rPr>
        <vertAlign val="subscript"/>
        <sz val="11"/>
        <color rgb="FF000000"/>
        <rFont val="Verdana"/>
        <family val="2"/>
      </rPr>
      <t>sed</t>
    </r>
    <r>
      <rPr>
        <sz val="10"/>
        <color rgb="FF000000"/>
        <rFont val="Verdana"/>
        <family val="2"/>
      </rPr>
      <t>.</t>
    </r>
  </si>
  <si>
    <t>a</t>
  </si>
  <si>
    <t>b</t>
  </si>
  <si>
    <t>c</t>
  </si>
  <si>
    <t xml:space="preserve">d </t>
  </si>
  <si>
    <t>e</t>
  </si>
  <si>
    <t>f</t>
  </si>
  <si>
    <t>Temperature correction</t>
  </si>
  <si>
    <t>χ</t>
  </si>
  <si>
    <r>
      <t>σ</t>
    </r>
    <r>
      <rPr>
        <vertAlign val="subscript"/>
        <sz val="11"/>
        <color rgb="FF000000"/>
        <rFont val="Verdana"/>
        <family val="2"/>
      </rPr>
      <t>T</t>
    </r>
    <r>
      <rPr>
        <sz val="10"/>
        <color rgb="FF000000"/>
        <rFont val="Verdana"/>
        <family val="2"/>
      </rPr>
      <t> = σ × (χ</t>
    </r>
    <r>
      <rPr>
        <vertAlign val="subscript"/>
        <sz val="11"/>
        <color rgb="FF000000"/>
        <rFont val="Verdana"/>
        <family val="2"/>
      </rPr>
      <t>25</t>
    </r>
    <r>
      <rPr>
        <sz val="10"/>
        <color rgb="FF000000"/>
        <rFont val="Verdana"/>
        <family val="2"/>
      </rPr>
      <t>/χ</t>
    </r>
    <r>
      <rPr>
        <vertAlign val="subscript"/>
        <sz val="11"/>
        <color rgb="FF000000"/>
        <rFont val="Verdana"/>
        <family val="2"/>
      </rPr>
      <t>obs</t>
    </r>
    <r>
      <rPr>
        <sz val="10"/>
        <color rgb="FF000000"/>
        <rFont val="Verdana"/>
        <family val="2"/>
      </rPr>
      <t>),</t>
    </r>
  </si>
  <si>
    <r>
      <t>where σ is the measurement and χ</t>
    </r>
    <r>
      <rPr>
        <vertAlign val="subscript"/>
        <sz val="11"/>
        <color rgb="FF000000"/>
        <rFont val="Verdana"/>
        <family val="2"/>
      </rPr>
      <t>20</t>
    </r>
    <r>
      <rPr>
        <sz val="13"/>
        <color rgb="FF000000"/>
        <rFont val="Verdana"/>
        <family val="2"/>
      </rPr>
      <t> and χ</t>
    </r>
    <r>
      <rPr>
        <vertAlign val="subscript"/>
        <sz val="11"/>
        <color rgb="FF000000"/>
        <rFont val="Verdana"/>
        <family val="2"/>
      </rPr>
      <t>obs</t>
    </r>
    <r>
      <rPr>
        <sz val="13"/>
        <color rgb="FF000000"/>
        <rFont val="Verdana"/>
        <family val="2"/>
      </rPr>
      <t> are the correction factors using 25°C and the observed temperature, respectively. Both seawater and sediment measurements of electrical conductivity are adjusted for the effects of temperature. A linear drift correction based on the seawater measurements is computed and applied to both the sediment and seawater temperature adjusted measurements and the formation factor, </t>
    </r>
    <r>
      <rPr>
        <i/>
        <sz val="13"/>
        <color rgb="FF000000"/>
        <rFont val="Verdana"/>
        <family val="2"/>
      </rPr>
      <t>F</t>
    </r>
    <r>
      <rPr>
        <sz val="13"/>
        <color rgb="FF000000"/>
        <rFont val="Verdana"/>
        <family val="2"/>
      </rPr>
      <t>, is computed as,</t>
    </r>
  </si>
  <si>
    <t>Sediment T</t>
  </si>
  <si>
    <t>Electrode</t>
  </si>
  <si>
    <t>Site</t>
  </si>
  <si>
    <t>Hole</t>
  </si>
  <si>
    <t>Core</t>
  </si>
  <si>
    <t>Depth of core (mbsf)</t>
  </si>
  <si>
    <t>Type</t>
  </si>
  <si>
    <t>Sec</t>
  </si>
  <si>
    <t>Formation Factor</t>
  </si>
  <si>
    <r>
      <t xml:space="preserve">Both seawater and sediment measurements of electrical conductivity were adjusted to a standard temperature of </t>
    </r>
    <r>
      <rPr>
        <sz val="13"/>
        <color rgb="FFFF0000"/>
        <rFont val="Verdana"/>
        <family val="2"/>
      </rPr>
      <t>25°C</t>
    </r>
    <r>
      <rPr>
        <sz val="13"/>
        <color rgb="FF000000"/>
        <rFont val="Verdana"/>
        <family val="2"/>
      </rPr>
      <t xml:space="preserve"> where the correction factor is given by a fifth-order polynomial (Janz and Singer, 1975),</t>
    </r>
  </si>
  <si>
    <t>T corr Conductivity Reference</t>
  </si>
  <si>
    <t>T corr Conductivity Sediment</t>
  </si>
  <si>
    <t>T &amp; Salinity Corrected Conductivity Sediment</t>
  </si>
  <si>
    <t>salinity dilution series for refractometer conductivity relationship</t>
  </si>
  <si>
    <t>Expedition</t>
  </si>
  <si>
    <t>Sample [cm]</t>
  </si>
  <si>
    <t>f = mix/35</t>
  </si>
  <si>
    <t>mix= 0*(1-f)+ 35*f</t>
  </si>
  <si>
    <t>DI</t>
  </si>
  <si>
    <t>IAPSO</t>
  </si>
  <si>
    <t>TOTAL USED</t>
  </si>
  <si>
    <t>measure reflectance</t>
  </si>
  <si>
    <t>Drift monitoring</t>
  </si>
  <si>
    <t>measure conductivity</t>
  </si>
  <si>
    <t>Refractometer</t>
  </si>
  <si>
    <t>Conductivity</t>
  </si>
  <si>
    <t>T of conductivity</t>
  </si>
  <si>
    <t>Known Salinity</t>
  </si>
  <si>
    <t>Measured Refraction</t>
  </si>
  <si>
    <t>Average</t>
  </si>
  <si>
    <t>slope</t>
  </si>
  <si>
    <t>intercept</t>
  </si>
  <si>
    <t>RSQ</t>
  </si>
  <si>
    <t>Salinity</t>
  </si>
  <si>
    <t>Actual</t>
  </si>
  <si>
    <t>T corr</t>
  </si>
  <si>
    <t>conductivity at 25</t>
  </si>
  <si>
    <t>reference salinity</t>
  </si>
  <si>
    <t>salinity corr ref</t>
  </si>
  <si>
    <t>Seawater reference Conductivity</t>
  </si>
  <si>
    <t>Seawater Reference Temperature</t>
  </si>
  <si>
    <t>501_M0111_B_025R</t>
  </si>
  <si>
    <t>501_M0111_B_043R</t>
  </si>
  <si>
    <t>501_M0111_A_001H</t>
  </si>
  <si>
    <t>501_M0111_A_027H</t>
  </si>
  <si>
    <t>501_M0111_B_001H</t>
  </si>
  <si>
    <t>501_M0111_B_024R</t>
  </si>
  <si>
    <t>501_M0111_B_044R</t>
  </si>
  <si>
    <t>501_M0111_B_129R</t>
  </si>
  <si>
    <t>501_M0111_B_130R</t>
  </si>
  <si>
    <t>base of core</t>
  </si>
  <si>
    <t>501_M0111_C_002H</t>
  </si>
  <si>
    <t>501_M0111_C_9R</t>
  </si>
  <si>
    <t>501_M0111_C_010R</t>
  </si>
  <si>
    <t>501_M0111_C_039R</t>
  </si>
  <si>
    <t>Core Start</t>
  </si>
  <si>
    <t>Core Stop</t>
  </si>
  <si>
    <t>501_M0112_A_001H</t>
  </si>
  <si>
    <t>501_M0112_A_037R</t>
  </si>
  <si>
    <t>501_M0112_A_036R</t>
  </si>
  <si>
    <t>501_M0112_A_051R</t>
  </si>
  <si>
    <t>501_M0112_A_052R</t>
  </si>
  <si>
    <t>501_M0112_B_002H</t>
  </si>
  <si>
    <t>501_M0112_B_010R</t>
  </si>
  <si>
    <t>501_M0112_B_011R</t>
  </si>
  <si>
    <t>501_M0112_B_057R</t>
  </si>
  <si>
    <t>501_M0113_A_001H</t>
  </si>
  <si>
    <t>501_M0113_A_136R</t>
  </si>
  <si>
    <t>501_M0113_A_137R</t>
  </si>
  <si>
    <t>501_M0113_A_185H</t>
  </si>
  <si>
    <t>501_M0113_A_186H</t>
  </si>
  <si>
    <t>base of hole</t>
  </si>
  <si>
    <t>Sediment Conductivity mS/cm</t>
  </si>
  <si>
    <t>Sediment Conductivity µS/cm</t>
  </si>
  <si>
    <t>Note</t>
  </si>
  <si>
    <t>Combined</t>
  </si>
  <si>
    <t>A</t>
  </si>
  <si>
    <t>H</t>
  </si>
  <si>
    <t>B</t>
  </si>
  <si>
    <t>R</t>
  </si>
  <si>
    <t xml:space="preserve">Core </t>
  </si>
  <si>
    <t>Section</t>
  </si>
  <si>
    <t>top_depth</t>
  </si>
  <si>
    <t>bottom_depth</t>
  </si>
  <si>
    <t>M0111</t>
  </si>
  <si>
    <t>X</t>
  </si>
  <si>
    <t>C</t>
  </si>
  <si>
    <t>O</t>
  </si>
  <si>
    <t>M0112</t>
  </si>
  <si>
    <t>M0113</t>
  </si>
  <si>
    <t>Date</t>
  </si>
  <si>
    <t>Time</t>
  </si>
  <si>
    <t>Solution</t>
  </si>
  <si>
    <t>T, deg</t>
  </si>
  <si>
    <t>unit</t>
  </si>
  <si>
    <t>Comment</t>
  </si>
  <si>
    <t>01/16/2026</t>
  </si>
  <si>
    <t>mS</t>
  </si>
  <si>
    <t>data captured by Vera B.</t>
  </si>
  <si>
    <t>undiluted reference solution</t>
  </si>
  <si>
    <t>diluted reference solution</t>
  </si>
  <si>
    <t>sandy sediment, poorly consolidated</t>
  </si>
  <si>
    <t>Reference Solution 30%</t>
  </si>
  <si>
    <t>01/19/26 16:00</t>
  </si>
  <si>
    <t>Eletcr 2</t>
  </si>
  <si>
    <t>44.7 mS/cm</t>
  </si>
  <si>
    <t>@21.1 degC</t>
  </si>
  <si>
    <t>Electr 1</t>
  </si>
  <si>
    <t>43.9 mS/cm</t>
  </si>
  <si>
    <r>
      <t>F</t>
    </r>
    <r>
      <rPr>
        <sz val="11"/>
        <color rgb="FF000000"/>
        <rFont val="Verdana"/>
        <family val="2"/>
      </rPr>
      <t> = χ</t>
    </r>
    <r>
      <rPr>
        <vertAlign val="subscript"/>
        <sz val="11"/>
        <color rgb="FF000000"/>
        <rFont val="Verdana"/>
        <family val="2"/>
      </rPr>
      <t>sw</t>
    </r>
    <r>
      <rPr>
        <sz val="11"/>
        <color rgb="FF000000"/>
        <rFont val="Verdana"/>
        <family val="2"/>
      </rPr>
      <t>/χ</t>
    </r>
    <r>
      <rPr>
        <vertAlign val="subscript"/>
        <sz val="11"/>
        <color rgb="FF000000"/>
        <rFont val="Verdana"/>
        <family val="2"/>
      </rPr>
      <t>sed</t>
    </r>
    <r>
      <rPr>
        <sz val="11"/>
        <color rgb="FF000000"/>
        <rFont val="Verdana"/>
        <family val="2"/>
      </rPr>
      <t>.</t>
    </r>
  </si>
  <si>
    <t>Pure Reference Liquid (Electrode 1)</t>
  </si>
  <si>
    <t>Pure Reference Liquid (Electrode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</si>
</sst>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8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3"/>
      <color rgb="FF000000"/>
      <name val="Verdana"/>
      <family val="2"/>
    </font>
    <font>
      <vertAlign val="subscript"/>
      <sz val="11"/>
      <color rgb="FF000000"/>
      <name val="Verdana"/>
      <family val="2"/>
    </font>
    <font>
      <sz val="13"/>
      <color rgb="FF000000"/>
      <name val="Verdana"/>
      <family val="2"/>
    </font>
    <font>
      <b/>
      <sz val="12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vertAlign val="superscript"/>
      <sz val="11"/>
      <color rgb="FF000000"/>
      <name val="Verdana"/>
      <family val="2"/>
    </font>
    <font>
      <sz val="13"/>
      <color rgb="FFFF0000"/>
      <name val="Verdana"/>
      <family val="2"/>
    </font>
    <font>
      <sz val="11"/>
      <color theme="1"/>
      <name val="Aptos Narrow"/>
      <scheme val="minor"/>
    </font>
    <font>
      <i/>
      <sz val="11"/>
      <color rgb="FF000000"/>
      <name val="Verdana"/>
      <family val="2"/>
    </font>
    <font>
      <sz val="11"/>
      <color rgb="FF000000"/>
      <name val="Verdana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8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/>
    <xf numFmtId="0" fontId="9" fillId="0" borderId="0" xfId="0" applyFont="1"/>
    <xf numFmtId="0" fontId="8" fillId="0" borderId="0" xfId="0" applyFont="1"/>
    <xf numFmtId="0" fontId="10" fillId="0" borderId="0" xfId="0" applyFont="1"/>
    <xf numFmtId="0" fontId="11" fillId="0" borderId="0" xfId="0" applyFont="1"/>
    <xf numFmtId="0" fontId="8" fillId="0" borderId="0" xfId="0" applyFont="1" applyAlignment="1">
      <alignment wrapText="1"/>
    </xf>
    <xf numFmtId="2" fontId="0" fillId="0" borderId="0" xfId="0" applyNumberFormat="1"/>
    <xf numFmtId="0" fontId="5" fillId="0" borderId="0" xfId="0" applyFont="1" applyAlignment="1">
      <alignment horizontal="center" wrapText="1"/>
    </xf>
    <xf numFmtId="0" fontId="5" fillId="4" borderId="0" xfId="0" applyFont="1" applyFill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1"/>
    <xf numFmtId="20" fontId="0" fillId="0" borderId="0" xfId="0" applyNumberFormat="1"/>
    <xf numFmtId="165" fontId="0" fillId="0" borderId="0" xfId="0" applyNumberFormat="1"/>
    <xf numFmtId="164" fontId="0" fillId="0" borderId="0" xfId="0" applyNumberFormat="1"/>
    <xf numFmtId="0" fontId="3" fillId="0" borderId="0" xfId="1" applyFont="1"/>
    <xf numFmtId="0" fontId="3" fillId="0" borderId="0" xfId="1" applyFont="1" applyFill="1"/>
    <xf numFmtId="0" fontId="3" fillId="0" borderId="0" xfId="0" applyFont="1" applyAlignment="1">
      <alignment horizontal="center"/>
    </xf>
    <xf numFmtId="0" fontId="3" fillId="0" borderId="0" xfId="0" applyFont="1"/>
    <xf numFmtId="0" fontId="15" fillId="0" borderId="0" xfId="0" applyFont="1" applyAlignment="1">
      <alignment horizontal="center"/>
    </xf>
    <xf numFmtId="0" fontId="17" fillId="2" borderId="0" xfId="0" applyFont="1" applyFill="1" applyAlignment="1">
      <alignment horizontal="center"/>
    </xf>
    <xf numFmtId="49" fontId="17" fillId="2" borderId="0" xfId="0" applyNumberFormat="1" applyFont="1" applyFill="1" applyAlignment="1">
      <alignment horizontal="center"/>
    </xf>
    <xf numFmtId="0" fontId="14" fillId="3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 vertical="top"/>
    </xf>
    <xf numFmtId="2" fontId="3" fillId="5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3" fillId="0" borderId="0" xfId="0" quotePrefix="1" applyFont="1"/>
    <xf numFmtId="0" fontId="14" fillId="0" borderId="0" xfId="0" applyFont="1"/>
    <xf numFmtId="0" fontId="3" fillId="6" borderId="0" xfId="0" applyFont="1" applyFill="1"/>
    <xf numFmtId="165" fontId="3" fillId="6" borderId="0" xfId="0" applyNumberFormat="1" applyFont="1" applyFill="1"/>
    <xf numFmtId="164" fontId="3" fillId="6" borderId="0" xfId="0" applyNumberFormat="1" applyFont="1" applyFill="1" applyAlignment="1">
      <alignment horizontal="right"/>
    </xf>
    <xf numFmtId="0" fontId="3" fillId="6" borderId="0" xfId="0" applyFont="1" applyFill="1" applyAlignment="1">
      <alignment horizontal="right"/>
    </xf>
    <xf numFmtId="0" fontId="2" fillId="0" borderId="0" xfId="0" applyFont="1" applyAlignment="1">
      <alignment horizontal="center"/>
    </xf>
    <xf numFmtId="0" fontId="2" fillId="6" borderId="0" xfId="0" applyFont="1" applyFill="1" applyAlignment="1">
      <alignment horizontal="right"/>
    </xf>
    <xf numFmtId="0" fontId="3" fillId="5" borderId="0" xfId="0" applyFont="1" applyFill="1"/>
    <xf numFmtId="0" fontId="2" fillId="0" borderId="0" xfId="0" applyFont="1" applyAlignment="1">
      <alignment horizontal="left"/>
    </xf>
    <xf numFmtId="165" fontId="3" fillId="7" borderId="0" xfId="0" applyNumberFormat="1" applyFont="1" applyFill="1"/>
    <xf numFmtId="165" fontId="14" fillId="7" borderId="0" xfId="0" applyNumberFormat="1" applyFont="1" applyFill="1"/>
    <xf numFmtId="165" fontId="14" fillId="7" borderId="0" xfId="0" applyNumberFormat="1" applyFont="1" applyFill="1" applyAlignment="1">
      <alignment horizontal="right"/>
    </xf>
    <xf numFmtId="0" fontId="1" fillId="0" borderId="0" xfId="0" applyFont="1" applyAlignment="1">
      <alignment horizontal="center"/>
    </xf>
    <xf numFmtId="0" fontId="3" fillId="0" borderId="0" xfId="0" applyFont="1" applyFill="1"/>
    <xf numFmtId="165" fontId="3" fillId="0" borderId="0" xfId="0" applyNumberFormat="1" applyFont="1" applyFill="1"/>
    <xf numFmtId="0" fontId="3" fillId="0" borderId="0" xfId="0" applyFont="1" applyFill="1" applyAlignment="1">
      <alignment horizontal="right"/>
    </xf>
    <xf numFmtId="165" fontId="14" fillId="0" borderId="0" xfId="0" applyNumberFormat="1" applyFont="1" applyFill="1" applyAlignment="1">
      <alignment horizontal="right"/>
    </xf>
    <xf numFmtId="0" fontId="17" fillId="0" borderId="0" xfId="0" applyFont="1" applyFill="1" applyAlignment="1">
      <alignment horizontal="center" wrapText="1"/>
    </xf>
    <xf numFmtId="0" fontId="14" fillId="0" borderId="0" xfId="0" applyFont="1" applyFill="1" applyAlignment="1">
      <alignment wrapText="1"/>
    </xf>
    <xf numFmtId="165" fontId="14" fillId="0" borderId="0" xfId="0" applyNumberFormat="1" applyFont="1" applyFill="1" applyAlignment="1">
      <alignment wrapText="1"/>
    </xf>
    <xf numFmtId="0" fontId="14" fillId="0" borderId="0" xfId="0" applyFont="1" applyFill="1" applyAlignment="1">
      <alignment horizontal="right" wrapText="1"/>
    </xf>
    <xf numFmtId="165" fontId="14" fillId="0" borderId="0" xfId="0" applyNumberFormat="1" applyFont="1" applyFill="1" applyAlignment="1">
      <alignment horizontal="right" wrapText="1"/>
    </xf>
  </cellXfs>
  <cellStyles count="2">
    <cellStyle name="Normal" xfId="0" builtinId="0"/>
    <cellStyle name="Normal 2" xfId="1" xr:uid="{3F921F2F-CDD6-4973-AB41-0877EC0128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Formation Factor Calibration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Calibration!$C$2:$C$6</c:f>
              <c:numCache>
                <c:formatCode>General</c:formatCode>
                <c:ptCount val="5"/>
                <c:pt idx="0">
                  <c:v>1.48</c:v>
                </c:pt>
                <c:pt idx="1">
                  <c:v>4.71</c:v>
                </c:pt>
                <c:pt idx="2">
                  <c:v>9.9</c:v>
                </c:pt>
                <c:pt idx="3">
                  <c:v>24.4</c:v>
                </c:pt>
                <c:pt idx="4">
                  <c:v>34.700000000000003</c:v>
                </c:pt>
              </c:numCache>
            </c:numRef>
          </c:cat>
          <c:val>
            <c:numRef>
              <c:f>Calibration!$E$2:$E$6</c:f>
              <c:numCache>
                <c:formatCode>0.000</c:formatCode>
                <c:ptCount val="5"/>
                <c:pt idx="0">
                  <c:v>3.9180000000000001</c:v>
                </c:pt>
                <c:pt idx="1">
                  <c:v>8.8989999999999991</c:v>
                </c:pt>
                <c:pt idx="2">
                  <c:v>16.8</c:v>
                </c:pt>
                <c:pt idx="3">
                  <c:v>38.01</c:v>
                </c:pt>
                <c:pt idx="4">
                  <c:v>50.85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42-4F24-9C6C-E4A13BD7E6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9931376"/>
        <c:axId val="1229929296"/>
      </c:barChart>
      <c:catAx>
        <c:axId val="122993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929296"/>
        <c:crosses val="autoZero"/>
        <c:auto val="1"/>
        <c:lblAlgn val="ctr"/>
        <c:lblOffset val="100"/>
        <c:noMultiLvlLbl val="0"/>
      </c:catAx>
      <c:valAx>
        <c:axId val="122992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Conductivity, 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993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Conductivity</a:t>
            </a:r>
            <a:r>
              <a:rPr lang="en-GB" baseline="0"/>
              <a:t> v. Salinity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Calibration!$C$2:$C$6</c:f>
              <c:numCache>
                <c:formatCode>General</c:formatCode>
                <c:ptCount val="5"/>
                <c:pt idx="0">
                  <c:v>1.48</c:v>
                </c:pt>
                <c:pt idx="1">
                  <c:v>4.71</c:v>
                </c:pt>
                <c:pt idx="2">
                  <c:v>9.9</c:v>
                </c:pt>
                <c:pt idx="3">
                  <c:v>24.4</c:v>
                </c:pt>
                <c:pt idx="4">
                  <c:v>34.700000000000003</c:v>
                </c:pt>
              </c:numCache>
            </c:numRef>
          </c:xVal>
          <c:yVal>
            <c:numRef>
              <c:f>Calibration!$E$2:$E$6</c:f>
              <c:numCache>
                <c:formatCode>0.000</c:formatCode>
                <c:ptCount val="5"/>
                <c:pt idx="0">
                  <c:v>3.9180000000000001</c:v>
                </c:pt>
                <c:pt idx="1">
                  <c:v>8.8989999999999991</c:v>
                </c:pt>
                <c:pt idx="2">
                  <c:v>16.8</c:v>
                </c:pt>
                <c:pt idx="3">
                  <c:v>38.01</c:v>
                </c:pt>
                <c:pt idx="4">
                  <c:v>50.85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3A-417B-8BA7-691AB33AAF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862560"/>
        <c:axId val="1163864640"/>
      </c:scatterChart>
      <c:valAx>
        <c:axId val="116386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Salinity</a:t>
                </a:r>
                <a:r>
                  <a:rPr lang="en-GB" baseline="0"/>
                  <a:t> by refractometer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64640"/>
        <c:crosses val="autoZero"/>
        <c:crossBetween val="midCat"/>
      </c:valAx>
      <c:valAx>
        <c:axId val="116386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Conductivity mS/cm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386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Reference Solution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yVal>
            <c:numRef>
              <c:f>'Data Entry'!$K$34:$K$51</c:f>
              <c:numCache>
                <c:formatCode>General</c:formatCode>
                <c:ptCount val="18"/>
                <c:pt idx="0">
                  <c:v>43.22</c:v>
                </c:pt>
                <c:pt idx="1">
                  <c:v>43.22</c:v>
                </c:pt>
                <c:pt idx="2">
                  <c:v>42.42</c:v>
                </c:pt>
                <c:pt idx="3">
                  <c:v>42.42</c:v>
                </c:pt>
                <c:pt idx="4">
                  <c:v>41.86</c:v>
                </c:pt>
                <c:pt idx="5">
                  <c:v>41.86</c:v>
                </c:pt>
                <c:pt idx="6">
                  <c:v>42.62</c:v>
                </c:pt>
                <c:pt idx="7">
                  <c:v>42.62</c:v>
                </c:pt>
                <c:pt idx="8">
                  <c:v>42.06</c:v>
                </c:pt>
                <c:pt idx="9">
                  <c:v>42.06</c:v>
                </c:pt>
                <c:pt idx="10">
                  <c:v>41.41</c:v>
                </c:pt>
                <c:pt idx="11">
                  <c:v>41.41</c:v>
                </c:pt>
                <c:pt idx="12">
                  <c:v>41.7</c:v>
                </c:pt>
                <c:pt idx="13">
                  <c:v>41.7</c:v>
                </c:pt>
                <c:pt idx="14">
                  <c:v>41.02</c:v>
                </c:pt>
                <c:pt idx="15">
                  <c:v>41.02</c:v>
                </c:pt>
                <c:pt idx="16">
                  <c:v>40.380000000000003</c:v>
                </c:pt>
                <c:pt idx="17">
                  <c:v>40.380000000000003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08-4237-A8AB-D2858A816F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0715152"/>
        <c:axId val="1624645216"/>
      </c:scatterChart>
      <c:valAx>
        <c:axId val="1680715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Measurement #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4645216"/>
        <c:crosses val="autoZero"/>
        <c:crossBetween val="midCat"/>
      </c:valAx>
      <c:valAx>
        <c:axId val="162464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Conductivity, mS/cm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0715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6739286206716719E-2"/>
                  <c:y val="-0.17466065962559463"/>
                </c:manualLayout>
              </c:layout>
              <c:numFmt formatCode="#,##0.000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'Salinity Corrections'!$H$4:$H$8</c:f>
              <c:numCache>
                <c:formatCode>General</c:formatCode>
                <c:ptCount val="5"/>
                <c:pt idx="0">
                  <c:v>9.9969999999999999</c:v>
                </c:pt>
                <c:pt idx="1">
                  <c:v>30</c:v>
                </c:pt>
                <c:pt idx="2">
                  <c:v>34.993000000000002</c:v>
                </c:pt>
                <c:pt idx="3">
                  <c:v>37.999000000000002</c:v>
                </c:pt>
                <c:pt idx="4">
                  <c:v>9.9969999999999999</c:v>
                </c:pt>
              </c:numCache>
            </c:numRef>
          </c:xVal>
          <c:yVal>
            <c:numRef>
              <c:f>'Salinity Corrections'!$L$4:$L$8</c:f>
              <c:numCache>
                <c:formatCode>General</c:formatCode>
                <c:ptCount val="5"/>
                <c:pt idx="0">
                  <c:v>1.3349666666666666</c:v>
                </c:pt>
                <c:pt idx="1">
                  <c:v>1.3386100000000001</c:v>
                </c:pt>
                <c:pt idx="2">
                  <c:v>1.3395866666666665</c:v>
                </c:pt>
                <c:pt idx="3">
                  <c:v>1.34013</c:v>
                </c:pt>
                <c:pt idx="4">
                  <c:v>1.33491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E8-B04B-85DE-7C5E464585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641552"/>
        <c:axId val="500542640"/>
      </c:scatterChart>
      <c:valAx>
        <c:axId val="167664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0542640"/>
        <c:crosses val="autoZero"/>
        <c:crossBetween val="midCat"/>
      </c:valAx>
      <c:valAx>
        <c:axId val="500542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6415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8466207349081365"/>
                  <c:y val="-0.185601851851851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'Salinity Corrections'!$L$15:$L$19</c:f>
              <c:numCache>
                <c:formatCode>0.000</c:formatCode>
                <c:ptCount val="5"/>
                <c:pt idx="0">
                  <c:v>1.4817304462751975</c:v>
                </c:pt>
                <c:pt idx="1">
                  <c:v>4.711996810924524</c:v>
                </c:pt>
                <c:pt idx="2">
                  <c:v>9.8991283229819231</c:v>
                </c:pt>
                <c:pt idx="3">
                  <c:v>24.395757999531465</c:v>
                </c:pt>
                <c:pt idx="4">
                  <c:v>34.701674630627906</c:v>
                </c:pt>
              </c:numCache>
            </c:numRef>
          </c:xVal>
          <c:yVal>
            <c:numRef>
              <c:f>'Salinity Corrections'!$M$15:$M$19</c:f>
              <c:numCache>
                <c:formatCode>General</c:formatCode>
                <c:ptCount val="5"/>
                <c:pt idx="0">
                  <c:v>3.9180000000000001</c:v>
                </c:pt>
                <c:pt idx="1">
                  <c:v>8.8989999999999991</c:v>
                </c:pt>
                <c:pt idx="2">
                  <c:v>16.8</c:v>
                </c:pt>
                <c:pt idx="3">
                  <c:v>38.01</c:v>
                </c:pt>
                <c:pt idx="4">
                  <c:v>50.85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29-1948-AACF-F11210CE5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6142704"/>
        <c:axId val="1665213280"/>
      </c:scatterChart>
      <c:valAx>
        <c:axId val="1676142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5213280"/>
        <c:crosses val="autoZero"/>
        <c:crossBetween val="midCat"/>
      </c:valAx>
      <c:valAx>
        <c:axId val="166521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6142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670560</xdr:colOff>
      <xdr:row>7</xdr:row>
      <xdr:rowOff>106680</xdr:rowOff>
    </xdr:from>
    <xdr:to>
      <xdr:col>12</xdr:col>
      <xdr:colOff>121920</xdr:colOff>
      <xdr:row>21</xdr:row>
      <xdr:rowOff>182880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0D9AD6-CF7E-4917-B77C-AF92AE9695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541020</xdr:colOff>
      <xdr:row>7</xdr:row>
      <xdr:rowOff>114300</xdr:rowOff>
    </xdr:from>
    <xdr:to>
      <xdr:col>5</xdr:col>
      <xdr:colOff>518160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B3F6E3F-E9BA-480F-8B8C-2CEB1C887A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114301</xdr:colOff>
      <xdr:row>32</xdr:row>
      <xdr:rowOff>87086</xdr:rowOff>
    </xdr:from>
    <xdr:to>
      <xdr:col>6</xdr:col>
      <xdr:colOff>168730</xdr:colOff>
      <xdr:row>48</xdr:row>
      <xdr:rowOff>43544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37ED60-D205-4C0E-B595-8ED3C155C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154608</xdr:colOff>
      <xdr:row>1</xdr:row>
      <xdr:rowOff>11043</xdr:rowOff>
    </xdr:from>
    <xdr:to>
      <xdr:col>16</xdr:col>
      <xdr:colOff>560456</xdr:colOff>
      <xdr:row>11</xdr:row>
      <xdr:rowOff>10491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CB7870-4EA5-59DA-FABA-3EA45121A5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204304</xdr:colOff>
      <xdr:row>20</xdr:row>
      <xdr:rowOff>19879</xdr:rowOff>
    </xdr:from>
    <xdr:to>
      <xdr:col>16</xdr:col>
      <xdr:colOff>209826</xdr:colOff>
      <xdr:row>33</xdr:row>
      <xdr:rowOff>107122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74A736-20AD-45EC-0025-4C07BCB979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Rebecca Robinson" id="{98B022F8-48A8-954A-9EF4-20D5B4ECA6AD}" userId="S::rebecca_r@uri.edu::53b9fc9c-3e03-404b-80b7-6faa2bf9044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2" dT="2026-01-08T18:06:35.61" personId="{98B022F8-48A8-954A-9EF4-20D5B4ECA6AD}" id="{08D09F5D-FCFA-1042-8059-7094D8CC8525}">
    <text>I am unsure about whether these should be here during the data collection phase. I realize folks will want an instantaneous Formation Factor but I have concerns.</text>
  </threadedComment>
  <threadedComment ref="R2" dT="2026-01-08T18:29:52.13" personId="{98B022F8-48A8-954A-9EF4-20D5B4ECA6AD}" id="{D1D4618B-19C1-AF4A-800C-0A30165A3E1E}">
    <text>We will determine this empirically with a dilution series. Will have to redo for newly platinized electrodes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67102-A094-43DD-A2B6-3F52910B931D}">
  <dimension ref="A1:G6"/>
  <sheetViews>
    <sheetView workbookViewId="0">
      <selection activeCell="N25" sqref="N25"/>
    </sheetView>
  </sheetViews>
  <sheetFormatPr defaultRowHeight="15"/>
  <cols>
    <col min="1" max="1" width="9.90625" bestFit="1" customWidth="1"/>
    <col min="3" max="3" width="17.08984375" customWidth="1"/>
    <col min="5" max="5" width="10.36328125" bestFit="1" customWidth="1"/>
  </cols>
  <sheetData>
    <row r="1" spans="1:7">
      <c r="A1" t="s">
        <v>106</v>
      </c>
      <c r="B1" t="s">
        <v>107</v>
      </c>
      <c r="C1" t="s">
        <v>108</v>
      </c>
      <c r="D1" t="s">
        <v>109</v>
      </c>
      <c r="E1" t="s">
        <v>41</v>
      </c>
      <c r="F1" t="s">
        <v>110</v>
      </c>
      <c r="G1" t="s">
        <v>111</v>
      </c>
    </row>
    <row r="2" spans="1:7">
      <c r="A2" t="s">
        <v>112</v>
      </c>
      <c r="B2" s="18">
        <v>0.33680555555555558</v>
      </c>
      <c r="C2">
        <v>1.48</v>
      </c>
      <c r="D2" s="19">
        <v>20.9</v>
      </c>
      <c r="E2" s="20">
        <v>3.9180000000000001</v>
      </c>
      <c r="F2" t="s">
        <v>113</v>
      </c>
      <c r="G2" t="s">
        <v>114</v>
      </c>
    </row>
    <row r="3" spans="1:7">
      <c r="A3" t="s">
        <v>112</v>
      </c>
      <c r="B3" s="18">
        <v>0.34513888888888888</v>
      </c>
      <c r="C3">
        <v>4.71</v>
      </c>
      <c r="D3" s="19">
        <v>20.9</v>
      </c>
      <c r="E3" s="20">
        <v>8.8989999999999991</v>
      </c>
      <c r="F3" t="s">
        <v>113</v>
      </c>
      <c r="G3" t="s">
        <v>114</v>
      </c>
    </row>
    <row r="4" spans="1:7">
      <c r="A4" t="s">
        <v>112</v>
      </c>
      <c r="B4" s="18">
        <v>0.34722222222222221</v>
      </c>
      <c r="C4">
        <v>9.9</v>
      </c>
      <c r="D4" s="19">
        <v>20.9</v>
      </c>
      <c r="E4" s="20">
        <v>16.8</v>
      </c>
      <c r="F4" t="s">
        <v>113</v>
      </c>
      <c r="G4" t="s">
        <v>114</v>
      </c>
    </row>
    <row r="5" spans="1:7">
      <c r="A5" t="s">
        <v>112</v>
      </c>
      <c r="B5" s="18">
        <v>0.35</v>
      </c>
      <c r="C5">
        <v>24.4</v>
      </c>
      <c r="D5" s="19">
        <v>20.9</v>
      </c>
      <c r="E5" s="20">
        <v>38.01</v>
      </c>
      <c r="F5" t="s">
        <v>113</v>
      </c>
      <c r="G5" t="s">
        <v>114</v>
      </c>
    </row>
    <row r="6" spans="1:7">
      <c r="A6" t="s">
        <v>112</v>
      </c>
      <c r="B6" s="18">
        <v>0.35416666666666669</v>
      </c>
      <c r="C6">
        <v>34.700000000000003</v>
      </c>
      <c r="D6" s="19">
        <v>21</v>
      </c>
      <c r="E6" s="20">
        <v>50.85</v>
      </c>
      <c r="F6" t="s">
        <v>113</v>
      </c>
      <c r="G6" t="s">
        <v>114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ADF31-C718-CA43-BEE7-38516501D4B7}">
  <sheetPr>
    <tabColor theme="1"/>
  </sheetPr>
  <dimension ref="A1:AA67"/>
  <sheetViews>
    <sheetView tabSelected="1" zoomScale="70" zoomScaleNormal="70" workbookViewId="0">
      <pane ySplit="2" topLeftCell="A42" activePane="bottomLeft" state="frozen"/>
      <selection activeCell="F1" sqref="F1"/>
      <selection pane="bottomLeft" activeCell="P73" sqref="P73"/>
    </sheetView>
  </sheetViews>
  <sheetFormatPr defaultColWidth="10.90625" defaultRowHeight="13.8"/>
  <cols>
    <col min="1" max="1" width="11.36328125" style="23" customWidth="1"/>
    <col min="2" max="6" width="10.81640625" style="23"/>
    <col min="7" max="7" width="11.6328125" style="23" customWidth="1"/>
    <col min="8" max="8" width="14" style="24" bestFit="1" customWidth="1"/>
    <col min="9" max="9" width="10.90625" style="43"/>
    <col min="10" max="10" width="10.81640625" style="24"/>
    <col min="11" max="11" width="11.36328125" style="37" customWidth="1"/>
    <col min="12" max="12" width="12.6328125" style="45" customWidth="1"/>
    <col min="13" max="13" width="12" style="24" customWidth="1"/>
    <col min="14" max="14" width="11.08984375" style="40" customWidth="1"/>
    <col min="15" max="15" width="10.81640625" style="47"/>
    <col min="16" max="16" width="12.7265625" style="23" customWidth="1"/>
    <col min="17" max="19" width="11.6328125" style="23" customWidth="1"/>
    <col min="20" max="21" width="10.81640625" style="23"/>
    <col min="22" max="16384" width="10.90625" style="24"/>
  </cols>
  <sheetData>
    <row r="1" spans="1:27" ht="15">
      <c r="I1" s="49"/>
      <c r="J1" s="49"/>
      <c r="K1" s="49"/>
      <c r="L1" s="50"/>
      <c r="M1" s="49"/>
      <c r="N1" s="51"/>
      <c r="O1" s="52"/>
      <c r="V1" s="25" t="s">
        <v>125</v>
      </c>
    </row>
    <row r="2" spans="1:27" s="29" customFormat="1" ht="55.8">
      <c r="A2" s="26" t="s">
        <v>30</v>
      </c>
      <c r="B2" s="26" t="s">
        <v>18</v>
      </c>
      <c r="C2" s="26" t="s">
        <v>19</v>
      </c>
      <c r="D2" s="26" t="s">
        <v>20</v>
      </c>
      <c r="E2" s="26" t="s">
        <v>22</v>
      </c>
      <c r="F2" s="26" t="s">
        <v>23</v>
      </c>
      <c r="G2" s="27" t="s">
        <v>31</v>
      </c>
      <c r="H2" s="21" t="s">
        <v>91</v>
      </c>
      <c r="I2" s="53" t="s">
        <v>21</v>
      </c>
      <c r="J2" s="54" t="s">
        <v>17</v>
      </c>
      <c r="K2" s="54" t="s">
        <v>55</v>
      </c>
      <c r="L2" s="55" t="s">
        <v>56</v>
      </c>
      <c r="M2" s="54" t="s">
        <v>89</v>
      </c>
      <c r="N2" s="56" t="s">
        <v>88</v>
      </c>
      <c r="O2" s="57" t="s">
        <v>16</v>
      </c>
      <c r="P2" s="28" t="s">
        <v>0</v>
      </c>
      <c r="Q2" s="28" t="s">
        <v>26</v>
      </c>
      <c r="R2" s="28" t="s">
        <v>27</v>
      </c>
      <c r="S2" s="28" t="s">
        <v>54</v>
      </c>
      <c r="T2" s="28" t="s">
        <v>28</v>
      </c>
      <c r="U2" s="28" t="s">
        <v>24</v>
      </c>
      <c r="V2" s="29" t="s">
        <v>90</v>
      </c>
    </row>
    <row r="3" spans="1:27" ht="16.05" customHeight="1">
      <c r="A3" s="30">
        <v>501</v>
      </c>
      <c r="B3" s="31">
        <v>111</v>
      </c>
      <c r="C3" s="31" t="s">
        <v>92</v>
      </c>
      <c r="D3" s="31">
        <v>1</v>
      </c>
      <c r="E3" s="31" t="s">
        <v>93</v>
      </c>
      <c r="F3" s="31">
        <v>1</v>
      </c>
      <c r="G3" s="31">
        <v>68</v>
      </c>
      <c r="H3" s="21" t="str">
        <f>CONCATENATE("M0",B3,"-",C3, "-",D3, "-",F3)</f>
        <v>M0111-A-1-1</v>
      </c>
      <c r="I3" s="32">
        <f>VLOOKUP(H3,'Depth vlookup'!G2:I1049,2,FALSE)+G3/100</f>
        <v>0.68</v>
      </c>
      <c r="J3" s="24">
        <v>2</v>
      </c>
      <c r="K3" s="37">
        <v>50.6</v>
      </c>
      <c r="L3" s="45">
        <v>21.3</v>
      </c>
      <c r="M3" s="24">
        <f>N3*1000</f>
        <v>11450</v>
      </c>
      <c r="N3" s="39">
        <v>11.45</v>
      </c>
      <c r="O3" s="47">
        <v>19.3</v>
      </c>
      <c r="P3" s="23">
        <f>'salinity data'!C2</f>
        <v>32</v>
      </c>
      <c r="Q3" s="33">
        <f>K3*('Temperature Corrections'!$D$9+'Temperature Corrections'!$D$10*'Data Entry'!$L3+('Temperature Corrections'!$D$11*('Data Entry'!$L3^2))+('Temperature Corrections'!$D$12*('Data Entry'!$L3^3))+('Temperature Corrections'!$D$13*('Data Entry'!$L3^4))+('Temperature Corrections'!$D$14*('Data Entry'!$L3^5)))/'Temperature Corrections'!$G$6</f>
        <v>52.003879863132461</v>
      </c>
      <c r="R3" s="33">
        <f>N3*('Temperature Corrections'!$D$9+'Temperature Corrections'!$D$10*'Data Entry'!$O3+('Temperature Corrections'!$D$11*('Data Entry'!$O3^2))+('Temperature Corrections'!$D$12*('Data Entry'!$O3^3))+('Temperature Corrections'!$D$13*('Data Entry'!$O3^4))+('Temperature Corrections'!$D$14*('Data Entry'!$O3^5)))/'Temperature Corrections'!$G$6</f>
        <v>11.279918229842314</v>
      </c>
      <c r="S3" s="33">
        <f>Q3*(34.9994*'Salinity Corrections'!$I$22+'Salinity Corrections'!$I$23)/'Salinity Corrections'!$K$23</f>
        <v>52.003879863132461</v>
      </c>
      <c r="T3" s="33">
        <f>R3*(P3*'Salinity Corrections'!$I$22+'Salinity Corrections'!$I$23)/'Salinity Corrections'!$K$23</f>
        <v>10.356372704804546</v>
      </c>
      <c r="U3" s="34">
        <f>S3/T3</f>
        <v>5.0214376544218746</v>
      </c>
      <c r="V3" s="24" t="s">
        <v>115</v>
      </c>
    </row>
    <row r="4" spans="1:27">
      <c r="A4" s="23">
        <v>501</v>
      </c>
      <c r="B4" s="23">
        <v>111</v>
      </c>
      <c r="C4" s="23" t="s">
        <v>92</v>
      </c>
      <c r="D4" s="23">
        <v>21</v>
      </c>
      <c r="E4" s="23" t="s">
        <v>93</v>
      </c>
      <c r="F4" s="23">
        <v>2</v>
      </c>
      <c r="G4" s="23">
        <v>24</v>
      </c>
      <c r="H4" s="21" t="str">
        <f t="shared" ref="H4:H30" si="0">CONCATENATE("M0",B4,"-",C4, "-",D4, "-",F4)</f>
        <v>M0111-A-21-2</v>
      </c>
      <c r="I4" s="32">
        <f>VLOOKUP(H4,'Depth vlookup'!G3:I1050,2,FALSE)+G4/100</f>
        <v>49.010000000000005</v>
      </c>
      <c r="J4" s="24">
        <v>2</v>
      </c>
      <c r="K4" s="37">
        <v>50.3</v>
      </c>
      <c r="L4" s="45">
        <v>21.5</v>
      </c>
      <c r="M4" s="24">
        <f t="shared" ref="M4:M35" si="1">N4*1000</f>
        <v>12250</v>
      </c>
      <c r="N4" s="39">
        <v>12.25</v>
      </c>
      <c r="O4" s="47">
        <v>18.7</v>
      </c>
      <c r="P4" s="23">
        <v>32</v>
      </c>
      <c r="Q4" s="33">
        <f>K4*('Temperature Corrections'!$D$9+'Temperature Corrections'!$D$10*'Data Entry'!$L4+('Temperature Corrections'!$D$11*('Data Entry'!$L4^2))+('Temperature Corrections'!$D$12*('Data Entry'!$L4^3))+('Temperature Corrections'!$D$13*('Data Entry'!$L4^4))+('Temperature Corrections'!$D$14*('Data Entry'!$L4^5)))/'Temperature Corrections'!$G$6</f>
        <v>51.911121746940729</v>
      </c>
      <c r="R4" s="33">
        <f>N4*('Temperature Corrections'!$D$9+'Temperature Corrections'!$D$10*'Data Entry'!$O4+('Temperature Corrections'!$D$11*('Data Entry'!$O4^2))+('Temperature Corrections'!$D$12*('Data Entry'!$O4^3))+('Temperature Corrections'!$D$13*('Data Entry'!$O4^4))+('Temperature Corrections'!$D$14*('Data Entry'!$O4^5)))/'Temperature Corrections'!$G$6</f>
        <v>11.912686318486951</v>
      </c>
      <c r="S4" s="33">
        <f>Q4*(34.9994*'Salinity Corrections'!$I$22+'Salinity Corrections'!$I$23)/'Salinity Corrections'!$K$23</f>
        <v>51.911121746940729</v>
      </c>
      <c r="T4" s="33">
        <f>R4*(P4*'Salinity Corrections'!$I$22+'Salinity Corrections'!$I$23)/'Salinity Corrections'!$K$23</f>
        <v>10.937332781658069</v>
      </c>
      <c r="U4" s="34">
        <f t="shared" ref="U4:U29" si="2">S4/T4</f>
        <v>4.7462322655113676</v>
      </c>
      <c r="V4" s="24" t="s">
        <v>115</v>
      </c>
    </row>
    <row r="5" spans="1:27">
      <c r="A5" s="23">
        <v>501</v>
      </c>
      <c r="B5" s="23">
        <v>111</v>
      </c>
      <c r="C5" s="23" t="s">
        <v>92</v>
      </c>
      <c r="D5" s="23">
        <v>21</v>
      </c>
      <c r="E5" s="23" t="s">
        <v>93</v>
      </c>
      <c r="F5" s="23">
        <v>2</v>
      </c>
      <c r="G5" s="23">
        <v>32</v>
      </c>
      <c r="H5" s="21" t="str">
        <f t="shared" si="0"/>
        <v>M0111-A-21-2</v>
      </c>
      <c r="I5" s="32">
        <f>VLOOKUP(H5,'Depth vlookup'!G4:I1051,2,FALSE)+G5/100</f>
        <v>49.09</v>
      </c>
      <c r="J5" s="24">
        <v>2</v>
      </c>
      <c r="K5" s="37">
        <v>50.3</v>
      </c>
      <c r="L5" s="45">
        <v>21.5</v>
      </c>
      <c r="M5" s="24">
        <f t="shared" si="1"/>
        <v>10200</v>
      </c>
      <c r="N5" s="39">
        <v>10.199999999999999</v>
      </c>
      <c r="O5" s="47">
        <v>18.899999999999999</v>
      </c>
      <c r="P5" s="23">
        <v>32</v>
      </c>
      <c r="Q5" s="33">
        <f>K5*('Temperature Corrections'!$D$9+'Temperature Corrections'!$D$10*'Data Entry'!$L5+('Temperature Corrections'!$D$11*('Data Entry'!$L5^2))+('Temperature Corrections'!$D$12*('Data Entry'!$L5^3))+('Temperature Corrections'!$D$13*('Data Entry'!$L5^4))+('Temperature Corrections'!$D$14*('Data Entry'!$L5^5)))/'Temperature Corrections'!$G$6</f>
        <v>51.911121746940729</v>
      </c>
      <c r="R5" s="33">
        <f>N5*('Temperature Corrections'!$D$9+'Temperature Corrections'!$D$10*'Data Entry'!$O5+('Temperature Corrections'!$D$11*('Data Entry'!$O5^2))+('Temperature Corrections'!$D$12*('Data Entry'!$O5^3))+('Temperature Corrections'!$D$13*('Data Entry'!$O5^4))+('Temperature Corrections'!$D$14*('Data Entry'!$O5^5)))/'Temperature Corrections'!$G$6</f>
        <v>9.9621972791717326</v>
      </c>
      <c r="S5" s="33">
        <f>Q5*(34.9994*'Salinity Corrections'!$I$22+'Salinity Corrections'!$I$23)/'Salinity Corrections'!$K$23</f>
        <v>51.911121746940729</v>
      </c>
      <c r="T5" s="33">
        <f>R5*(P5*'Salinity Corrections'!$I$22+'Salinity Corrections'!$I$23)/'Salinity Corrections'!$K$23</f>
        <v>9.1465404163071256</v>
      </c>
      <c r="U5" s="34">
        <f t="shared" si="2"/>
        <v>5.675492523314035</v>
      </c>
      <c r="V5" s="24" t="s">
        <v>115</v>
      </c>
    </row>
    <row r="6" spans="1:27">
      <c r="A6" s="23">
        <v>501</v>
      </c>
      <c r="B6" s="23">
        <v>111</v>
      </c>
      <c r="C6" s="23" t="s">
        <v>94</v>
      </c>
      <c r="D6" s="23">
        <v>14</v>
      </c>
      <c r="E6" s="23" t="s">
        <v>95</v>
      </c>
      <c r="F6" s="23">
        <v>1</v>
      </c>
      <c r="G6" s="23">
        <v>12</v>
      </c>
      <c r="H6" s="21" t="str">
        <f t="shared" si="0"/>
        <v>M0111-B-14-1</v>
      </c>
      <c r="I6" s="32">
        <f>VLOOKUP(H6,'Depth vlookup'!G5:I1052,2,FALSE)+G6/100</f>
        <v>82.72</v>
      </c>
      <c r="J6" s="24">
        <v>2</v>
      </c>
      <c r="K6" s="37">
        <v>50.3</v>
      </c>
      <c r="L6" s="45">
        <v>21.5</v>
      </c>
      <c r="M6" s="24">
        <f t="shared" si="1"/>
        <v>6064</v>
      </c>
      <c r="N6" s="39">
        <v>6.0640000000000001</v>
      </c>
      <c r="O6" s="47">
        <v>20.100000000000001</v>
      </c>
      <c r="P6" s="23">
        <v>30</v>
      </c>
      <c r="Q6" s="33">
        <f>K6*('Temperature Corrections'!$D$9+'Temperature Corrections'!$D$10*'Data Entry'!$L6+('Temperature Corrections'!$D$11*('Data Entry'!$L6^2))+('Temperature Corrections'!$D$12*('Data Entry'!$L6^3))+('Temperature Corrections'!$D$13*('Data Entry'!$L6^4))+('Temperature Corrections'!$D$14*('Data Entry'!$L6^5)))/'Temperature Corrections'!$G$6</f>
        <v>51.911121746940729</v>
      </c>
      <c r="R6" s="33">
        <f>N6*('Temperature Corrections'!$D$9+'Temperature Corrections'!$D$10*'Data Entry'!$O6+('Temperature Corrections'!$D$11*('Data Entry'!$O6^2))+('Temperature Corrections'!$D$12*('Data Entry'!$O6^3))+('Temperature Corrections'!$D$13*('Data Entry'!$O6^4))+('Temperature Corrections'!$D$14*('Data Entry'!$O6^5)))/'Temperature Corrections'!$G$6</f>
        <v>6.0768985160952864</v>
      </c>
      <c r="S6" s="33">
        <f>Q6*(34.9994*'Salinity Corrections'!$I$22+'Salinity Corrections'!$I$23)/'Salinity Corrections'!$K$23</f>
        <v>51.911121746940729</v>
      </c>
      <c r="T6" s="33">
        <f>R6*(P6*'Salinity Corrections'!$I$22+'Salinity Corrections'!$I$23)/'Salinity Corrections'!$K$23</f>
        <v>5.2475867265516936</v>
      </c>
      <c r="U6" s="34">
        <f t="shared" si="2"/>
        <v>9.8923799552051772</v>
      </c>
      <c r="V6" s="24" t="s">
        <v>115</v>
      </c>
    </row>
    <row r="7" spans="1:27">
      <c r="A7" s="23">
        <v>501</v>
      </c>
      <c r="B7" s="23">
        <v>111</v>
      </c>
      <c r="C7" s="23" t="s">
        <v>94</v>
      </c>
      <c r="D7" s="23">
        <v>14</v>
      </c>
      <c r="E7" s="23" t="s">
        <v>95</v>
      </c>
      <c r="F7" s="23">
        <v>1</v>
      </c>
      <c r="G7" s="23">
        <v>13</v>
      </c>
      <c r="H7" s="21" t="str">
        <f t="shared" si="0"/>
        <v>M0111-B-14-1</v>
      </c>
      <c r="I7" s="32">
        <f>VLOOKUP(H7,'Depth vlookup'!G6:I1053,2,FALSE)+G7/100</f>
        <v>82.72999999999999</v>
      </c>
      <c r="J7" s="24">
        <v>2</v>
      </c>
      <c r="K7" s="37">
        <v>50.3</v>
      </c>
      <c r="L7" s="45">
        <v>21.5</v>
      </c>
      <c r="M7" s="24">
        <f t="shared" si="1"/>
        <v>6448</v>
      </c>
      <c r="N7" s="39">
        <v>6.4480000000000004</v>
      </c>
      <c r="O7" s="47">
        <v>20.100000000000001</v>
      </c>
      <c r="P7" s="23">
        <v>30</v>
      </c>
      <c r="Q7" s="33">
        <f>K7*('Temperature Corrections'!$D$9+'Temperature Corrections'!$D$10*'Data Entry'!$L7+('Temperature Corrections'!$D$11*('Data Entry'!$L7^2))+('Temperature Corrections'!$D$12*('Data Entry'!$L7^3))+('Temperature Corrections'!$D$13*('Data Entry'!$L7^4))+('Temperature Corrections'!$D$14*('Data Entry'!$L7^5)))/'Temperature Corrections'!$G$6</f>
        <v>51.911121746940729</v>
      </c>
      <c r="R7" s="33">
        <f>N7*('Temperature Corrections'!$D$9+'Temperature Corrections'!$D$10*'Data Entry'!$O7+('Temperature Corrections'!$D$11*('Data Entry'!$O7^2))+('Temperature Corrections'!$D$12*('Data Entry'!$O7^3))+('Temperature Corrections'!$D$13*('Data Entry'!$O7^4))+('Temperature Corrections'!$D$14*('Data Entry'!$O7^5)))/'Temperature Corrections'!$G$6</f>
        <v>6.4617153086712413</v>
      </c>
      <c r="S7" s="33">
        <f>Q7*(34.9994*'Salinity Corrections'!$I$22+'Salinity Corrections'!$I$23)/'Salinity Corrections'!$K$23</f>
        <v>51.911121746940729</v>
      </c>
      <c r="T7" s="33">
        <f>R7*(P7*'Salinity Corrections'!$I$22+'Salinity Corrections'!$I$23)/'Salinity Corrections'!$K$23</f>
        <v>5.5798877329824075</v>
      </c>
      <c r="U7" s="34">
        <f t="shared" si="2"/>
        <v>9.3032555906272023</v>
      </c>
      <c r="V7" s="24" t="s">
        <v>115</v>
      </c>
    </row>
    <row r="8" spans="1:27">
      <c r="A8" s="23">
        <v>501</v>
      </c>
      <c r="B8" s="23">
        <v>111</v>
      </c>
      <c r="C8" s="23" t="s">
        <v>94</v>
      </c>
      <c r="D8" s="23">
        <v>18</v>
      </c>
      <c r="E8" s="23" t="s">
        <v>95</v>
      </c>
      <c r="F8" s="23">
        <v>1</v>
      </c>
      <c r="G8" s="23">
        <v>18.5</v>
      </c>
      <c r="H8" s="21" t="str">
        <f t="shared" si="0"/>
        <v>M0111-B-18-1</v>
      </c>
      <c r="I8" s="32">
        <f>VLOOKUP(H8,'Depth vlookup'!G7:I1054,2,FALSE)+G8/100</f>
        <v>91.284999999999997</v>
      </c>
      <c r="J8" s="24">
        <v>2</v>
      </c>
      <c r="K8" s="38">
        <v>44.48</v>
      </c>
      <c r="L8" s="45">
        <v>20.6</v>
      </c>
      <c r="M8" s="24">
        <f t="shared" si="1"/>
        <v>9250</v>
      </c>
      <c r="N8" s="39">
        <v>9.25</v>
      </c>
      <c r="O8" s="47">
        <v>17.2</v>
      </c>
      <c r="P8" s="23">
        <v>30</v>
      </c>
      <c r="Q8" s="33">
        <f>K8*('Temperature Corrections'!$D$9+'Temperature Corrections'!$D$10*'Data Entry'!$L8+('Temperature Corrections'!$D$11*('Data Entry'!$L8^2))+('Temperature Corrections'!$D$12*('Data Entry'!$L8^3))+('Temperature Corrections'!$D$13*('Data Entry'!$L8^4))+('Temperature Corrections'!$D$14*('Data Entry'!$L8^5)))/'Temperature Corrections'!$G$6</f>
        <v>45.048479922335787</v>
      </c>
      <c r="R8" s="33">
        <f>N8*('Temperature Corrections'!$D$9+'Temperature Corrections'!$D$10*'Data Entry'!$O8+('Temperature Corrections'!$D$11*('Data Entry'!$O8^2))+('Temperature Corrections'!$D$12*('Data Entry'!$O8^3))+('Temperature Corrections'!$D$13*('Data Entry'!$O8^4))+('Temperature Corrections'!$D$14*('Data Entry'!$O8^5)))/'Temperature Corrections'!$G$6</f>
        <v>8.7040640070796336</v>
      </c>
      <c r="S8" s="33">
        <f>Q8*(34.9994*'Salinity Corrections'!$I$22+'Salinity Corrections'!$I$23)/'Salinity Corrections'!$K$23</f>
        <v>45.048479922335794</v>
      </c>
      <c r="T8" s="33">
        <f>R8*(P8*'Salinity Corrections'!$I$22+'Salinity Corrections'!$I$23)/'Salinity Corrections'!$K$23</f>
        <v>7.5162240458075198</v>
      </c>
      <c r="U8" s="34">
        <f t="shared" si="2"/>
        <v>5.9934988163988301</v>
      </c>
      <c r="V8" s="24" t="s">
        <v>116</v>
      </c>
    </row>
    <row r="9" spans="1:27">
      <c r="A9" s="23">
        <v>501</v>
      </c>
      <c r="B9" s="23">
        <v>111</v>
      </c>
      <c r="C9" s="23" t="s">
        <v>94</v>
      </c>
      <c r="D9" s="23">
        <v>18</v>
      </c>
      <c r="E9" s="23" t="s">
        <v>95</v>
      </c>
      <c r="F9" s="23">
        <v>1</v>
      </c>
      <c r="G9" s="23">
        <v>21</v>
      </c>
      <c r="H9" s="21" t="str">
        <f t="shared" si="0"/>
        <v>M0111-B-18-1</v>
      </c>
      <c r="I9" s="32">
        <f>VLOOKUP(H9,'Depth vlookup'!G8:I1055,2,FALSE)+G9/100</f>
        <v>91.309999999999988</v>
      </c>
      <c r="J9" s="24">
        <v>2</v>
      </c>
      <c r="K9" s="38">
        <v>43.76</v>
      </c>
      <c r="L9" s="45">
        <v>20.6</v>
      </c>
      <c r="M9" s="24">
        <f t="shared" si="1"/>
        <v>9260</v>
      </c>
      <c r="N9" s="39">
        <v>9.26</v>
      </c>
      <c r="O9" s="47">
        <v>17.2</v>
      </c>
      <c r="P9" s="23">
        <v>30</v>
      </c>
      <c r="Q9" s="33">
        <f>K9*('Temperature Corrections'!$D$9+'Temperature Corrections'!$D$10*'Data Entry'!$L9+('Temperature Corrections'!$D$11*('Data Entry'!$L9^2))+('Temperature Corrections'!$D$12*('Data Entry'!$L9^3))+('Temperature Corrections'!$D$13*('Data Entry'!$L9^4))+('Temperature Corrections'!$D$14*('Data Entry'!$L9^5)))/'Temperature Corrections'!$G$6</f>
        <v>44.319277909204459</v>
      </c>
      <c r="R9" s="33">
        <f>N9*('Temperature Corrections'!$D$9+'Temperature Corrections'!$D$10*'Data Entry'!$O9+('Temperature Corrections'!$D$11*('Data Entry'!$O9^2))+('Temperature Corrections'!$D$12*('Data Entry'!$O9^3))+('Temperature Corrections'!$D$13*('Data Entry'!$O9^4))+('Temperature Corrections'!$D$14*('Data Entry'!$O9^5)))/'Temperature Corrections'!$G$6</f>
        <v>8.7134738060062045</v>
      </c>
      <c r="S9" s="33">
        <f>Q9*(34.9994*'Salinity Corrections'!$I$22+'Salinity Corrections'!$I$23)/'Salinity Corrections'!$K$23</f>
        <v>44.319277909204459</v>
      </c>
      <c r="T9" s="33">
        <f>R9*(P9*'Salinity Corrections'!$I$22+'Salinity Corrections'!$I$23)/'Salinity Corrections'!$K$23</f>
        <v>7.5243496934246075</v>
      </c>
      <c r="U9" s="34">
        <f t="shared" si="2"/>
        <v>5.8901140583530127</v>
      </c>
      <c r="V9" s="24" t="s">
        <v>116</v>
      </c>
    </row>
    <row r="10" spans="1:27">
      <c r="A10" s="23">
        <v>501</v>
      </c>
      <c r="B10" s="23">
        <v>111</v>
      </c>
      <c r="C10" s="23" t="s">
        <v>94</v>
      </c>
      <c r="D10" s="23">
        <v>24</v>
      </c>
      <c r="E10" s="23" t="s">
        <v>95</v>
      </c>
      <c r="F10" s="23">
        <v>2</v>
      </c>
      <c r="G10" s="23">
        <v>88</v>
      </c>
      <c r="H10" s="21" t="str">
        <f t="shared" si="0"/>
        <v>M0111-B-24-2</v>
      </c>
      <c r="I10" s="32">
        <f>VLOOKUP(H10,'Depth vlookup'!G9:I1056,2,FALSE)+G10/100</f>
        <v>103.78999999999999</v>
      </c>
      <c r="J10" s="24">
        <v>2</v>
      </c>
      <c r="K10" s="38">
        <v>44.8</v>
      </c>
      <c r="L10" s="45">
        <v>20.9</v>
      </c>
      <c r="M10" s="24">
        <f t="shared" si="1"/>
        <v>6476</v>
      </c>
      <c r="N10" s="39">
        <v>6.476</v>
      </c>
      <c r="O10" s="47">
        <v>20.5</v>
      </c>
      <c r="P10" s="23">
        <v>30</v>
      </c>
      <c r="Q10" s="33">
        <f>K10*('Temperature Corrections'!$D$9+'Temperature Corrections'!$D$10*'Data Entry'!$L10+('Temperature Corrections'!$D$11*('Data Entry'!$L10^2))+('Temperature Corrections'!$D$12*('Data Entry'!$L10^3))+('Temperature Corrections'!$D$13*('Data Entry'!$L10^4))+('Temperature Corrections'!$D$14*('Data Entry'!$L10^5)))/'Temperature Corrections'!$G$6</f>
        <v>45.659572331546904</v>
      </c>
      <c r="R10" s="33">
        <f>N10*('Temperature Corrections'!$D$9+'Temperature Corrections'!$D$10*'Data Entry'!$O10+('Temperature Corrections'!$D$11*('Data Entry'!$O10^2))+('Temperature Corrections'!$D$12*('Data Entry'!$O10^3))+('Temperature Corrections'!$D$13*('Data Entry'!$O10^4))+('Temperature Corrections'!$D$14*('Data Entry'!$O10^5)))/'Temperature Corrections'!$G$6</f>
        <v>6.5449530738248152</v>
      </c>
      <c r="S10" s="33">
        <f>Q10*(34.9994*'Salinity Corrections'!$I$22+'Salinity Corrections'!$I$23)/'Salinity Corrections'!$K$23</f>
        <v>45.659572331546912</v>
      </c>
      <c r="T10" s="33">
        <f>R10*(P10*'Salinity Corrections'!$I$22+'Salinity Corrections'!$I$23)/'Salinity Corrections'!$K$23</f>
        <v>5.6517660752668508</v>
      </c>
      <c r="U10" s="34">
        <f t="shared" si="2"/>
        <v>8.0788149621693375</v>
      </c>
      <c r="V10" s="24" t="s">
        <v>116</v>
      </c>
    </row>
    <row r="11" spans="1:27">
      <c r="A11" s="23">
        <v>501</v>
      </c>
      <c r="B11" s="23">
        <v>111</v>
      </c>
      <c r="C11" s="23" t="s">
        <v>94</v>
      </c>
      <c r="D11" s="23">
        <v>24</v>
      </c>
      <c r="E11" s="23" t="s">
        <v>95</v>
      </c>
      <c r="F11" s="23">
        <v>2</v>
      </c>
      <c r="G11" s="23">
        <v>85.5</v>
      </c>
      <c r="H11" s="21" t="str">
        <f t="shared" si="0"/>
        <v>M0111-B-24-2</v>
      </c>
      <c r="I11" s="32">
        <f>VLOOKUP(H11,'Depth vlookup'!G10:I1057,2,FALSE)+G11/100</f>
        <v>103.765</v>
      </c>
      <c r="J11" s="24">
        <v>2</v>
      </c>
      <c r="K11" s="38">
        <v>44.11</v>
      </c>
      <c r="L11" s="45">
        <v>20.9</v>
      </c>
      <c r="M11" s="24">
        <f t="shared" si="1"/>
        <v>6125</v>
      </c>
      <c r="N11" s="39">
        <v>6.125</v>
      </c>
      <c r="O11" s="47">
        <v>20.5</v>
      </c>
      <c r="P11" s="23">
        <v>30</v>
      </c>
      <c r="Q11" s="33">
        <f>K11*('Temperature Corrections'!$D$9+'Temperature Corrections'!$D$10*'Data Entry'!$L11+('Temperature Corrections'!$D$11*('Data Entry'!$L11^2))+('Temperature Corrections'!$D$12*('Data Entry'!$L11^3))+('Temperature Corrections'!$D$13*('Data Entry'!$L11^4))+('Temperature Corrections'!$D$14*('Data Entry'!$L11^5)))/'Temperature Corrections'!$G$6</f>
        <v>44.956333382690495</v>
      </c>
      <c r="R11" s="33">
        <f>N11*('Temperature Corrections'!$D$9+'Temperature Corrections'!$D$10*'Data Entry'!$O11+('Temperature Corrections'!$D$11*('Data Entry'!$O11^2))+('Temperature Corrections'!$D$12*('Data Entry'!$O11^3))+('Temperature Corrections'!$D$13*('Data Entry'!$O11^4))+('Temperature Corrections'!$D$14*('Data Entry'!$O11^5)))/'Temperature Corrections'!$G$6</f>
        <v>6.1902158087055259</v>
      </c>
      <c r="S11" s="33">
        <f>Q11*(34.9994*'Salinity Corrections'!$I$22+'Salinity Corrections'!$I$23)/'Salinity Corrections'!$K$23</f>
        <v>44.956333382690502</v>
      </c>
      <c r="T11" s="33">
        <f>R11*(P11*'Salinity Corrections'!$I$22+'Salinity Corrections'!$I$23)/'Salinity Corrections'!$K$23</f>
        <v>5.345439655807513</v>
      </c>
      <c r="U11" s="34">
        <f t="shared" si="2"/>
        <v>8.4102218484213971</v>
      </c>
      <c r="V11" s="24" t="s">
        <v>116</v>
      </c>
      <c r="Y11" s="24" t="s">
        <v>118</v>
      </c>
      <c r="AA11" s="24" t="s">
        <v>119</v>
      </c>
    </row>
    <row r="12" spans="1:27">
      <c r="A12" s="23">
        <v>501</v>
      </c>
      <c r="B12" s="23">
        <v>111</v>
      </c>
      <c r="C12" s="23" t="s">
        <v>94</v>
      </c>
      <c r="D12" s="23">
        <v>28</v>
      </c>
      <c r="E12" s="23" t="s">
        <v>95</v>
      </c>
      <c r="F12" s="23">
        <v>1</v>
      </c>
      <c r="G12" s="23">
        <v>7.5</v>
      </c>
      <c r="H12" s="21" t="str">
        <f t="shared" si="0"/>
        <v>M0111-B-28-1</v>
      </c>
      <c r="I12" s="32">
        <f>VLOOKUP(H12,'Depth vlookup'!G11:I1058,2,FALSE)+G12/100</f>
        <v>112.375</v>
      </c>
      <c r="J12" s="24">
        <v>2</v>
      </c>
      <c r="K12" s="38">
        <v>45.12</v>
      </c>
      <c r="L12" s="45">
        <v>20.9</v>
      </c>
      <c r="M12" s="24">
        <f t="shared" si="1"/>
        <v>6757</v>
      </c>
      <c r="N12" s="39">
        <v>6.7569999999999997</v>
      </c>
      <c r="O12" s="47">
        <v>19.600000000000001</v>
      </c>
      <c r="P12" s="23">
        <v>12</v>
      </c>
      <c r="Q12" s="33">
        <f>K12*('Temperature Corrections'!$D$9+'Temperature Corrections'!$D$10*'Data Entry'!$L12+('Temperature Corrections'!$D$11*('Data Entry'!$L12^2))+('Temperature Corrections'!$D$12*('Data Entry'!$L12^3))+('Temperature Corrections'!$D$13*('Data Entry'!$L12^4))+('Temperature Corrections'!$D$14*('Data Entry'!$L12^5)))/'Temperature Corrections'!$G$6</f>
        <v>45.985712133915094</v>
      </c>
      <c r="R12" s="33">
        <f>N12*('Temperature Corrections'!$D$9+'Temperature Corrections'!$D$10*'Data Entry'!$O12+('Temperature Corrections'!$D$11*('Data Entry'!$O12^2))+('Temperature Corrections'!$D$12*('Data Entry'!$O12^3))+('Temperature Corrections'!$D$13*('Data Entry'!$O12^4))+('Temperature Corrections'!$D$14*('Data Entry'!$O12^5)))/'Temperature Corrections'!$G$6</f>
        <v>6.6995938597427749</v>
      </c>
      <c r="S12" s="33">
        <f>Q12*(34.9994*'Salinity Corrections'!$I$22+'Salinity Corrections'!$I$23)/'Salinity Corrections'!$K$23</f>
        <v>45.985712133915094</v>
      </c>
      <c r="T12" s="33">
        <f>R12*(P12*'Salinity Corrections'!$I$22+'Salinity Corrections'!$I$23)/'Salinity Corrections'!$K$23</f>
        <v>2.49346133492317</v>
      </c>
      <c r="U12" s="34">
        <f t="shared" si="2"/>
        <v>18.442520639820561</v>
      </c>
      <c r="V12" s="24" t="s">
        <v>116</v>
      </c>
      <c r="Y12" s="24" t="s">
        <v>120</v>
      </c>
      <c r="Z12" s="24" t="s">
        <v>121</v>
      </c>
      <c r="AA12" s="35" t="s">
        <v>122</v>
      </c>
    </row>
    <row r="13" spans="1:27">
      <c r="A13" s="23">
        <v>501</v>
      </c>
      <c r="B13" s="23">
        <v>111</v>
      </c>
      <c r="C13" s="23" t="s">
        <v>94</v>
      </c>
      <c r="D13" s="23">
        <v>28</v>
      </c>
      <c r="E13" s="23" t="s">
        <v>95</v>
      </c>
      <c r="F13" s="23">
        <v>1</v>
      </c>
      <c r="G13" s="23">
        <v>10</v>
      </c>
      <c r="H13" s="21" t="str">
        <f t="shared" si="0"/>
        <v>M0111-B-28-1</v>
      </c>
      <c r="I13" s="32">
        <f>VLOOKUP(H13,'Depth vlookup'!G12:I1059,2,FALSE)+G13/100</f>
        <v>112.39999999999999</v>
      </c>
      <c r="J13" s="24">
        <v>2</v>
      </c>
      <c r="K13" s="38">
        <v>44.13</v>
      </c>
      <c r="L13" s="45">
        <v>19.600000000000001</v>
      </c>
      <c r="M13" s="24">
        <f t="shared" si="1"/>
        <v>6694</v>
      </c>
      <c r="N13" s="39">
        <v>6.694</v>
      </c>
      <c r="O13" s="47">
        <v>19.600000000000001</v>
      </c>
      <c r="P13" s="23">
        <v>12</v>
      </c>
      <c r="Q13" s="33">
        <f>K13*('Temperature Corrections'!$D$9+'Temperature Corrections'!$D$10*'Data Entry'!$L13+('Temperature Corrections'!$D$11*('Data Entry'!$L13^2))+('Temperature Corrections'!$D$12*('Data Entry'!$L13^3))+('Temperature Corrections'!$D$13*('Data Entry'!$L13^4))+('Temperature Corrections'!$D$14*('Data Entry'!$L13^5)))/'Temperature Corrections'!$G$6</f>
        <v>43.755080217618577</v>
      </c>
      <c r="R13" s="33">
        <f>N13*('Temperature Corrections'!$D$9+'Temperature Corrections'!$D$10*'Data Entry'!$O13+('Temperature Corrections'!$D$11*('Data Entry'!$O13^2))+('Temperature Corrections'!$D$12*('Data Entry'!$O13^3))+('Temperature Corrections'!$D$13*('Data Entry'!$O13^4))+('Temperature Corrections'!$D$14*('Data Entry'!$O13^5)))/'Temperature Corrections'!$G$6</f>
        <v>6.6371290953260527</v>
      </c>
      <c r="S13" s="33">
        <f>Q13*(34.9994*'Salinity Corrections'!$I$22+'Salinity Corrections'!$I$23)/'Salinity Corrections'!$K$23</f>
        <v>43.755080217618577</v>
      </c>
      <c r="T13" s="33">
        <f>R13*(P13*'Salinity Corrections'!$I$22+'Salinity Corrections'!$I$23)/'Salinity Corrections'!$K$23</f>
        <v>2.4702131383714221</v>
      </c>
      <c r="U13" s="34">
        <f t="shared" si="2"/>
        <v>17.713078899121111</v>
      </c>
      <c r="V13" s="24" t="s">
        <v>116</v>
      </c>
      <c r="Y13" s="24" t="s">
        <v>123</v>
      </c>
      <c r="Z13" s="24" t="s">
        <v>124</v>
      </c>
      <c r="AA13" s="35" t="s">
        <v>122</v>
      </c>
    </row>
    <row r="14" spans="1:27">
      <c r="A14" s="23">
        <v>501</v>
      </c>
      <c r="B14" s="23">
        <v>111</v>
      </c>
      <c r="C14" s="23" t="s">
        <v>94</v>
      </c>
      <c r="D14" s="23">
        <v>31</v>
      </c>
      <c r="E14" s="23" t="s">
        <v>95</v>
      </c>
      <c r="F14" s="23">
        <v>1</v>
      </c>
      <c r="G14" s="23">
        <v>4</v>
      </c>
      <c r="H14" s="21" t="str">
        <f t="shared" si="0"/>
        <v>M0111-B-31-1</v>
      </c>
      <c r="I14" s="32">
        <f>VLOOKUP(H14,'Depth vlookup'!G13:I1060,2,FALSE)+G14/100</f>
        <v>121.34</v>
      </c>
      <c r="J14" s="24">
        <v>1</v>
      </c>
      <c r="K14" s="38">
        <v>43.63</v>
      </c>
      <c r="L14" s="45">
        <v>21.1</v>
      </c>
      <c r="M14" s="24">
        <f t="shared" si="1"/>
        <v>6920</v>
      </c>
      <c r="N14" s="39">
        <v>6.92</v>
      </c>
      <c r="O14" s="47">
        <v>20.8</v>
      </c>
      <c r="P14" s="23">
        <v>12</v>
      </c>
      <c r="Q14" s="33">
        <f>K14*('Temperature Corrections'!$D$9+'Temperature Corrections'!$D$10*'Data Entry'!$L14+('Temperature Corrections'!$D$11*('Data Entry'!$L14^2))+('Temperature Corrections'!$D$12*('Data Entry'!$L14^3))+('Temperature Corrections'!$D$13*('Data Entry'!$L14^4))+('Temperature Corrections'!$D$14*('Data Entry'!$L14^5)))/'Temperature Corrections'!$G$6</f>
        <v>44.653713062503094</v>
      </c>
      <c r="R14" s="33">
        <f>N14*('Temperature Corrections'!$D$9+'Temperature Corrections'!$D$10*'Data Entry'!$O14+('Temperature Corrections'!$D$11*('Data Entry'!$O14^2))+('Temperature Corrections'!$D$12*('Data Entry'!$O14^3))+('Temperature Corrections'!$D$13*('Data Entry'!$O14^4))+('Temperature Corrections'!$D$14*('Data Entry'!$O14^5)))/'Temperature Corrections'!$G$6</f>
        <v>7.0379879728231947</v>
      </c>
      <c r="S14" s="33">
        <f>Q14*(34.9994*'Salinity Corrections'!$I$22+'Salinity Corrections'!$I$23)/'Salinity Corrections'!$K$23</f>
        <v>44.653713062503094</v>
      </c>
      <c r="T14" s="33">
        <f>R14*(P14*'Salinity Corrections'!$I$22+'Salinity Corrections'!$I$23)/'Salinity Corrections'!$K$23</f>
        <v>2.6194051838483703</v>
      </c>
      <c r="U14" s="34">
        <f t="shared" si="2"/>
        <v>17.047272158520691</v>
      </c>
      <c r="V14" s="24" t="s">
        <v>116</v>
      </c>
    </row>
    <row r="15" spans="1:27">
      <c r="A15" s="23">
        <v>501</v>
      </c>
      <c r="B15" s="23">
        <v>111</v>
      </c>
      <c r="C15" s="23" t="s">
        <v>94</v>
      </c>
      <c r="D15" s="23">
        <v>31</v>
      </c>
      <c r="E15" s="23" t="s">
        <v>95</v>
      </c>
      <c r="F15" s="23">
        <v>1</v>
      </c>
      <c r="G15" s="23">
        <v>8</v>
      </c>
      <c r="H15" s="21" t="str">
        <f t="shared" si="0"/>
        <v>M0111-B-31-1</v>
      </c>
      <c r="I15" s="32">
        <f>VLOOKUP(H15,'Depth vlookup'!G14:I1061,2,FALSE)+G15/100</f>
        <v>121.38</v>
      </c>
      <c r="J15" s="24">
        <v>1</v>
      </c>
      <c r="K15" s="38">
        <v>43.6</v>
      </c>
      <c r="L15" s="45">
        <v>21.1</v>
      </c>
      <c r="M15" s="24">
        <f t="shared" si="1"/>
        <v>5636</v>
      </c>
      <c r="N15" s="39">
        <v>5.6360000000000001</v>
      </c>
      <c r="O15" s="47">
        <v>20.3</v>
      </c>
      <c r="P15" s="23">
        <v>12</v>
      </c>
      <c r="Q15" s="33">
        <f>K15*('Temperature Corrections'!$D$9+'Temperature Corrections'!$D$10*'Data Entry'!$L15+('Temperature Corrections'!$D$11*('Data Entry'!$L15^2))+('Temperature Corrections'!$D$12*('Data Entry'!$L15^3))+('Temperature Corrections'!$D$13*('Data Entry'!$L15^4))+('Temperature Corrections'!$D$14*('Data Entry'!$L15^5)))/'Temperature Corrections'!$G$6</f>
        <v>44.623009157119753</v>
      </c>
      <c r="R15" s="33">
        <f>N15*('Temperature Corrections'!$D$9+'Temperature Corrections'!$D$10*'Data Entry'!$O15+('Temperature Corrections'!$D$11*('Data Entry'!$O15^2))+('Temperature Corrections'!$D$12*('Data Entry'!$O15^3))+('Temperature Corrections'!$D$13*('Data Entry'!$O15^4))+('Temperature Corrections'!$D$14*('Data Entry'!$O15^5)))/'Temperature Corrections'!$G$6</f>
        <v>5.6719850664852123</v>
      </c>
      <c r="S15" s="33">
        <f>Q15*(34.9994*'Salinity Corrections'!$I$22+'Salinity Corrections'!$I$23)/'Salinity Corrections'!$K$23</f>
        <v>44.623009157119753</v>
      </c>
      <c r="T15" s="33">
        <f>R15*(P15*'Salinity Corrections'!$I$22+'Salinity Corrections'!$I$23)/'Salinity Corrections'!$K$23</f>
        <v>2.1110048984499943</v>
      </c>
      <c r="U15" s="34">
        <f t="shared" si="2"/>
        <v>21.138278357328399</v>
      </c>
      <c r="V15" s="24" t="s">
        <v>116</v>
      </c>
    </row>
    <row r="16" spans="1:27">
      <c r="A16" s="23">
        <v>501</v>
      </c>
      <c r="B16" s="23">
        <v>111</v>
      </c>
      <c r="C16" s="23" t="s">
        <v>94</v>
      </c>
      <c r="D16" s="23">
        <v>39</v>
      </c>
      <c r="E16" s="23" t="s">
        <v>95</v>
      </c>
      <c r="F16" s="23">
        <v>1</v>
      </c>
      <c r="G16" s="23">
        <v>4</v>
      </c>
      <c r="H16" s="21" t="str">
        <f t="shared" si="0"/>
        <v>M0111-B-39-1</v>
      </c>
      <c r="I16" s="32">
        <f>VLOOKUP(H16,'Depth vlookup'!G15:I1062,2,FALSE)+G16/100</f>
        <v>131.70999999999998</v>
      </c>
      <c r="J16" s="24">
        <v>1</v>
      </c>
      <c r="K16" s="38">
        <v>43.27</v>
      </c>
      <c r="L16" s="45">
        <v>20.9</v>
      </c>
      <c r="M16" s="24">
        <f t="shared" si="1"/>
        <v>4313</v>
      </c>
      <c r="N16" s="39">
        <v>4.3129999999999997</v>
      </c>
      <c r="O16" s="47">
        <v>20.5</v>
      </c>
      <c r="P16" s="23">
        <v>12</v>
      </c>
      <c r="Q16" s="33">
        <f>K16*('Temperature Corrections'!$D$9+'Temperature Corrections'!$D$10*'Data Entry'!$L16+('Temperature Corrections'!$D$11*('Data Entry'!$L16^2))+('Temperature Corrections'!$D$12*('Data Entry'!$L16^3))+('Temperature Corrections'!$D$13*('Data Entry'!$L16^4))+('Temperature Corrections'!$D$14*('Data Entry'!$L16^5)))/'Temperature Corrections'!$G$6</f>
        <v>44.100216401473993</v>
      </c>
      <c r="R16" s="33">
        <f>N16*('Temperature Corrections'!$D$9+'Temperature Corrections'!$D$10*'Data Entry'!$O16+('Temperature Corrections'!$D$11*('Data Entry'!$O16^2))+('Temperature Corrections'!$D$12*('Data Entry'!$O16^3))+('Temperature Corrections'!$D$13*('Data Entry'!$O16^4))+('Temperature Corrections'!$D$14*('Data Entry'!$O16^5)))/'Temperature Corrections'!$G$6</f>
        <v>4.3589225768076627</v>
      </c>
      <c r="S16" s="33">
        <f>Q16*(34.9994*'Salinity Corrections'!$I$22+'Salinity Corrections'!$I$23)/'Salinity Corrections'!$K$23</f>
        <v>44.100216401474</v>
      </c>
      <c r="T16" s="33">
        <f>R16*(P16*'Salinity Corrections'!$I$22+'Salinity Corrections'!$I$23)/'Salinity Corrections'!$K$23</f>
        <v>1.6223080286259139</v>
      </c>
      <c r="U16" s="34">
        <f t="shared" si="2"/>
        <v>27.183627044505624</v>
      </c>
      <c r="V16" s="24" t="s">
        <v>116</v>
      </c>
    </row>
    <row r="17" spans="1:22">
      <c r="A17" s="23">
        <v>501</v>
      </c>
      <c r="B17" s="23">
        <v>111</v>
      </c>
      <c r="C17" s="23" t="s">
        <v>94</v>
      </c>
      <c r="D17" s="23">
        <v>39</v>
      </c>
      <c r="E17" s="23" t="s">
        <v>95</v>
      </c>
      <c r="F17" s="23">
        <v>1</v>
      </c>
      <c r="G17" s="23">
        <v>9</v>
      </c>
      <c r="H17" s="21" t="str">
        <f t="shared" si="0"/>
        <v>M0111-B-39-1</v>
      </c>
      <c r="I17" s="32">
        <f>VLOOKUP(H17,'Depth vlookup'!G16:I1063,2,FALSE)+G17/100</f>
        <v>131.76</v>
      </c>
      <c r="J17" s="24">
        <v>1</v>
      </c>
      <c r="K17" s="38">
        <v>43.27</v>
      </c>
      <c r="L17" s="45">
        <v>20.9</v>
      </c>
      <c r="M17" s="24">
        <f t="shared" si="1"/>
        <v>4790</v>
      </c>
      <c r="N17" s="39">
        <v>4.79</v>
      </c>
      <c r="O17" s="47">
        <v>20.399999999999999</v>
      </c>
      <c r="P17" s="23">
        <v>12</v>
      </c>
      <c r="Q17" s="33">
        <f>K17*('Temperature Corrections'!$D$9+'Temperature Corrections'!$D$10*'Data Entry'!$L17+('Temperature Corrections'!$D$11*('Data Entry'!$L17^2))+('Temperature Corrections'!$D$12*('Data Entry'!$L17^3))+('Temperature Corrections'!$D$13*('Data Entry'!$L17^4))+('Temperature Corrections'!$D$14*('Data Entry'!$L17^5)))/'Temperature Corrections'!$G$6</f>
        <v>44.100216401473993</v>
      </c>
      <c r="R17" s="33">
        <f>N17*('Temperature Corrections'!$D$9+'Temperature Corrections'!$D$10*'Data Entry'!$O17+('Temperature Corrections'!$D$11*('Data Entry'!$O17^2))+('Temperature Corrections'!$D$12*('Data Entry'!$O17^3))+('Temperature Corrections'!$D$13*('Data Entry'!$O17^4))+('Temperature Corrections'!$D$14*('Data Entry'!$O17^5)))/'Temperature Corrections'!$G$6</f>
        <v>4.8307895845257676</v>
      </c>
      <c r="S17" s="33">
        <f>Q17*(34.9994*'Salinity Corrections'!$I$22+'Salinity Corrections'!$I$23)/'Salinity Corrections'!$K$23</f>
        <v>44.100216401474</v>
      </c>
      <c r="T17" s="33">
        <f>R17*(P17*'Salinity Corrections'!$I$22+'Salinity Corrections'!$I$23)/'Salinity Corrections'!$K$23</f>
        <v>1.7979279488185331</v>
      </c>
      <c r="U17" s="34">
        <f t="shared" si="2"/>
        <v>24.528355783363534</v>
      </c>
      <c r="V17" s="24" t="s">
        <v>116</v>
      </c>
    </row>
    <row r="18" spans="1:22">
      <c r="A18" s="23">
        <v>501</v>
      </c>
      <c r="B18" s="23">
        <v>111</v>
      </c>
      <c r="C18" s="23" t="s">
        <v>94</v>
      </c>
      <c r="D18" s="23">
        <v>44</v>
      </c>
      <c r="E18" s="23" t="s">
        <v>95</v>
      </c>
      <c r="F18" s="23">
        <v>1</v>
      </c>
      <c r="G18" s="23">
        <v>70</v>
      </c>
      <c r="H18" s="21" t="str">
        <f t="shared" si="0"/>
        <v>M0111-B-44-1</v>
      </c>
      <c r="I18" s="32">
        <f>VLOOKUP(H18,'Depth vlookup'!G17:I1064,2,FALSE)+G18/100</f>
        <v>146.81</v>
      </c>
      <c r="J18" s="24">
        <v>1</v>
      </c>
      <c r="K18" s="38">
        <v>41.92</v>
      </c>
      <c r="L18" s="45">
        <v>20.3</v>
      </c>
      <c r="M18" s="24">
        <f t="shared" si="1"/>
        <v>7216</v>
      </c>
      <c r="N18" s="39">
        <v>7.2160000000000002</v>
      </c>
      <c r="O18" s="47">
        <v>18.399999999999999</v>
      </c>
      <c r="P18" s="23">
        <v>6</v>
      </c>
      <c r="Q18" s="33">
        <f>K18*('Temperature Corrections'!$D$9+'Temperature Corrections'!$D$10*'Data Entry'!$L18+('Temperature Corrections'!$D$11*('Data Entry'!$L18^2))+('Temperature Corrections'!$D$12*('Data Entry'!$L18^3))+('Temperature Corrections'!$D$13*('Data Entry'!$L18^4))+('Temperature Corrections'!$D$14*('Data Entry'!$L18^5)))/'Temperature Corrections'!$G$6</f>
        <v>42.187653297916981</v>
      </c>
      <c r="R18" s="33">
        <f>N18*('Temperature Corrections'!$D$9+'Temperature Corrections'!$D$10*'Data Entry'!$O18+('Temperature Corrections'!$D$11*('Data Entry'!$O18^2))+('Temperature Corrections'!$D$12*('Data Entry'!$O18^3))+('Temperature Corrections'!$D$13*('Data Entry'!$O18^4))+('Temperature Corrections'!$D$14*('Data Entry'!$O18^5)))/'Temperature Corrections'!$G$6</f>
        <v>6.9716786292329251</v>
      </c>
      <c r="S18" s="33">
        <f>Q18*(34.9994*'Salinity Corrections'!$I$22+'Salinity Corrections'!$I$23)/'Salinity Corrections'!$K$23</f>
        <v>42.187653297916981</v>
      </c>
      <c r="T18" s="33">
        <f>R18*(P18*'Salinity Corrections'!$I$22+'Salinity Corrections'!$I$23)/'Salinity Corrections'!$K$23</f>
        <v>1.452882619706195</v>
      </c>
      <c r="U18" s="34">
        <f t="shared" si="2"/>
        <v>29.037206946868327</v>
      </c>
      <c r="V18" s="24" t="s">
        <v>117</v>
      </c>
    </row>
    <row r="19" spans="1:22">
      <c r="A19" s="23">
        <v>501</v>
      </c>
      <c r="B19" s="23">
        <v>111</v>
      </c>
      <c r="C19" s="23" t="s">
        <v>94</v>
      </c>
      <c r="D19" s="23">
        <v>44</v>
      </c>
      <c r="E19" s="23" t="s">
        <v>95</v>
      </c>
      <c r="F19" s="23">
        <v>1</v>
      </c>
      <c r="G19" s="23">
        <v>74</v>
      </c>
      <c r="H19" s="21" t="str">
        <f t="shared" si="0"/>
        <v>M0111-B-44-1</v>
      </c>
      <c r="I19" s="32">
        <f>VLOOKUP(H19,'Depth vlookup'!G18:I1065,2,FALSE)+G19/100</f>
        <v>146.85000000000002</v>
      </c>
      <c r="J19" s="24">
        <v>1</v>
      </c>
      <c r="K19" s="38">
        <v>41.92</v>
      </c>
      <c r="L19" s="45">
        <v>20.3</v>
      </c>
      <c r="M19" s="24">
        <f t="shared" si="1"/>
        <v>5710</v>
      </c>
      <c r="N19" s="39">
        <v>5.71</v>
      </c>
      <c r="O19" s="47">
        <v>18.399999999999999</v>
      </c>
      <c r="P19" s="23">
        <v>6</v>
      </c>
      <c r="Q19" s="33">
        <f>K19*('Temperature Corrections'!$D$9+'Temperature Corrections'!$D$10*'Data Entry'!$L19+('Temperature Corrections'!$D$11*('Data Entry'!$L19^2))+('Temperature Corrections'!$D$12*('Data Entry'!$L19^3))+('Temperature Corrections'!$D$13*('Data Entry'!$L19^4))+('Temperature Corrections'!$D$14*('Data Entry'!$L19^5)))/'Temperature Corrections'!$G$6</f>
        <v>42.187653297916981</v>
      </c>
      <c r="R19" s="33">
        <f>N19*('Temperature Corrections'!$D$9+'Temperature Corrections'!$D$10*'Data Entry'!$O19+('Temperature Corrections'!$D$11*('Data Entry'!$O19^2))+('Temperature Corrections'!$D$12*('Data Entry'!$O19^3))+('Temperature Corrections'!$D$13*('Data Entry'!$O19^4))+('Temperature Corrections'!$D$14*('Data Entry'!$O19^5)))/'Temperature Corrections'!$G$6</f>
        <v>5.5166692035643017</v>
      </c>
      <c r="S19" s="33">
        <f>Q19*(34.9994*'Salinity Corrections'!$I$22+'Salinity Corrections'!$I$23)/'Salinity Corrections'!$K$23</f>
        <v>42.187653297916981</v>
      </c>
      <c r="T19" s="33">
        <f>R19*(P19*'Salinity Corrections'!$I$22+'Salinity Corrections'!$I$23)/'Salinity Corrections'!$K$23</f>
        <v>1.1496618290635219</v>
      </c>
      <c r="U19" s="34">
        <f t="shared" si="2"/>
        <v>36.695706712539724</v>
      </c>
      <c r="V19" s="24" t="s">
        <v>117</v>
      </c>
    </row>
    <row r="20" spans="1:22">
      <c r="A20" s="23">
        <v>501</v>
      </c>
      <c r="B20" s="23">
        <v>111</v>
      </c>
      <c r="C20" s="23" t="s">
        <v>94</v>
      </c>
      <c r="D20" s="23">
        <v>61</v>
      </c>
      <c r="E20" s="23" t="s">
        <v>95</v>
      </c>
      <c r="F20" s="23">
        <v>1</v>
      </c>
      <c r="G20" s="23">
        <v>34</v>
      </c>
      <c r="H20" s="21" t="str">
        <f t="shared" si="0"/>
        <v>M0111-B-61-1</v>
      </c>
      <c r="I20" s="32">
        <f>VLOOKUP(H20,'Depth vlookup'!G19:I1066,2,FALSE)+G20/100</f>
        <v>175.95000000000002</v>
      </c>
      <c r="J20" s="24">
        <v>1</v>
      </c>
      <c r="K20" s="38">
        <v>43.5</v>
      </c>
      <c r="L20" s="45">
        <v>21.3</v>
      </c>
      <c r="M20" s="24">
        <f t="shared" si="1"/>
        <v>3548</v>
      </c>
      <c r="N20" s="39">
        <v>3.548</v>
      </c>
      <c r="O20" s="47">
        <v>20.9</v>
      </c>
      <c r="P20" s="23">
        <v>6</v>
      </c>
      <c r="Q20" s="33">
        <f>K20*('Temperature Corrections'!$D$9+'Temperature Corrections'!$D$10*'Data Entry'!$L20+('Temperature Corrections'!$D$11*('Data Entry'!$L20^2))+('Temperature Corrections'!$D$12*('Data Entry'!$L20^3))+('Temperature Corrections'!$D$13*('Data Entry'!$L20^4))+('Temperature Corrections'!$D$14*('Data Entry'!$L20^5)))/'Temperature Corrections'!$G$6</f>
        <v>44.706892767712681</v>
      </c>
      <c r="R20" s="33">
        <f>N20*('Temperature Corrections'!$D$9+'Temperature Corrections'!$D$10*'Data Entry'!$O20+('Temperature Corrections'!$D$11*('Data Entry'!$O20^2))+('Temperature Corrections'!$D$12*('Data Entry'!$O20^3))+('Temperature Corrections'!$D$13*('Data Entry'!$O20^4))+('Temperature Corrections'!$D$14*('Data Entry'!$O20^5)))/'Temperature Corrections'!$G$6</f>
        <v>3.6160750587573314</v>
      </c>
      <c r="S20" s="33">
        <f>Q20*(34.9994*'Salinity Corrections'!$I$22+'Salinity Corrections'!$I$23)/'Salinity Corrections'!$K$23</f>
        <v>44.706892767712681</v>
      </c>
      <c r="T20" s="33">
        <f>R20*(P20*'Salinity Corrections'!$I$22+'Salinity Corrections'!$I$23)/'Salinity Corrections'!$K$23</f>
        <v>0.75358215486183977</v>
      </c>
      <c r="U20" s="34">
        <f t="shared" si="2"/>
        <v>59.32583790536966</v>
      </c>
    </row>
    <row r="21" spans="1:22">
      <c r="A21" s="23">
        <v>501</v>
      </c>
      <c r="B21" s="23">
        <v>111</v>
      </c>
      <c r="C21" s="23" t="s">
        <v>94</v>
      </c>
      <c r="D21" s="23">
        <v>61</v>
      </c>
      <c r="E21" s="23" t="s">
        <v>95</v>
      </c>
      <c r="F21" s="23">
        <v>1</v>
      </c>
      <c r="G21" s="23">
        <v>37</v>
      </c>
      <c r="H21" s="21" t="str">
        <f t="shared" si="0"/>
        <v>M0111-B-61-1</v>
      </c>
      <c r="I21" s="32">
        <f>VLOOKUP(H21,'Depth vlookup'!G20:I1067,2,FALSE)+G21/100</f>
        <v>175.98000000000002</v>
      </c>
      <c r="J21" s="24">
        <v>1</v>
      </c>
      <c r="K21" s="38">
        <v>43.5</v>
      </c>
      <c r="L21" s="45">
        <v>21.3</v>
      </c>
      <c r="M21" s="24">
        <f t="shared" si="1"/>
        <v>3382</v>
      </c>
      <c r="N21" s="39">
        <v>3.3820000000000001</v>
      </c>
      <c r="O21" s="47">
        <v>20.9</v>
      </c>
      <c r="P21" s="23">
        <v>6</v>
      </c>
      <c r="Q21" s="33">
        <f>K21*('Temperature Corrections'!$D$9+'Temperature Corrections'!$D$10*'Data Entry'!$L21+('Temperature Corrections'!$D$11*('Data Entry'!$L21^2))+('Temperature Corrections'!$D$12*('Data Entry'!$L21^3))+('Temperature Corrections'!$D$13*('Data Entry'!$L21^4))+('Temperature Corrections'!$D$14*('Data Entry'!$L21^5)))/'Temperature Corrections'!$G$6</f>
        <v>44.706892767712681</v>
      </c>
      <c r="R21" s="33">
        <f>N21*('Temperature Corrections'!$D$9+'Temperature Corrections'!$D$10*'Data Entry'!$O21+('Temperature Corrections'!$D$11*('Data Entry'!$O21^2))+('Temperature Corrections'!$D$12*('Data Entry'!$O21^3))+('Temperature Corrections'!$D$13*('Data Entry'!$O21^4))+('Temperature Corrections'!$D$14*('Data Entry'!$O21^5)))/'Temperature Corrections'!$G$6</f>
        <v>3.4468900362788313</v>
      </c>
      <c r="S21" s="33">
        <f>Q21*(34.9994*'Salinity Corrections'!$I$22+'Salinity Corrections'!$I$23)/'Salinity Corrections'!$K$23</f>
        <v>44.706892767712681</v>
      </c>
      <c r="T21" s="33">
        <f>R21*(P21*'Salinity Corrections'!$I$22+'Salinity Corrections'!$I$23)/'Salinity Corrections'!$K$23</f>
        <v>0.71832436520370402</v>
      </c>
      <c r="U21" s="34">
        <f t="shared" si="2"/>
        <v>62.237750706165457</v>
      </c>
    </row>
    <row r="22" spans="1:22">
      <c r="A22" s="23">
        <v>501</v>
      </c>
      <c r="B22" s="23">
        <v>111</v>
      </c>
      <c r="C22" s="23" t="s">
        <v>94</v>
      </c>
      <c r="D22" s="23">
        <v>64</v>
      </c>
      <c r="E22" s="23" t="s">
        <v>95</v>
      </c>
      <c r="F22" s="23">
        <v>1</v>
      </c>
      <c r="G22" s="23">
        <v>43</v>
      </c>
      <c r="H22" s="21" t="str">
        <f t="shared" si="0"/>
        <v>M0111-B-64-1</v>
      </c>
      <c r="I22" s="32">
        <f>VLOOKUP(H22,'Depth vlookup'!G21:I1068,2,FALSE)+G22/100</f>
        <v>185.19</v>
      </c>
      <c r="J22" s="24">
        <v>1</v>
      </c>
      <c r="K22" s="38">
        <v>43.24</v>
      </c>
      <c r="L22" s="45">
        <v>21.2</v>
      </c>
      <c r="M22" s="24">
        <f t="shared" si="1"/>
        <v>2344</v>
      </c>
      <c r="N22" s="39">
        <v>2.3439999999999999</v>
      </c>
      <c r="O22" s="47">
        <v>20.100000000000001</v>
      </c>
      <c r="P22" s="23">
        <v>6</v>
      </c>
      <c r="Q22" s="33">
        <f>K22*('Temperature Corrections'!$D$9+'Temperature Corrections'!$D$10*'Data Entry'!$L22+('Temperature Corrections'!$D$11*('Data Entry'!$L22^2))+('Temperature Corrections'!$D$12*('Data Entry'!$L22^3))+('Temperature Corrections'!$D$13*('Data Entry'!$L22^4))+('Temperature Corrections'!$D$14*('Data Entry'!$L22^5)))/'Temperature Corrections'!$G$6</f>
        <v>44.347096506046249</v>
      </c>
      <c r="R22" s="33">
        <f>N22*('Temperature Corrections'!$D$9+'Temperature Corrections'!$D$10*'Data Entry'!$O22+('Temperature Corrections'!$D$11*('Data Entry'!$O22^2))+('Temperature Corrections'!$D$12*('Data Entry'!$O22^3))+('Temperature Corrections'!$D$13*('Data Entry'!$O22^4))+('Temperature Corrections'!$D$14*('Data Entry'!$O22^5)))/'Temperature Corrections'!$G$6</f>
        <v>2.3489858380157242</v>
      </c>
      <c r="S22" s="33">
        <f>Q22*(34.9994*'Salinity Corrections'!$I$22+'Salinity Corrections'!$I$23)/'Salinity Corrections'!$K$23</f>
        <v>44.347096506046256</v>
      </c>
      <c r="T22" s="33">
        <f>R22*(P22*'Salinity Corrections'!$I$22+'Salinity Corrections'!$I$23)/'Salinity Corrections'!$K$23</f>
        <v>0.48952352503439173</v>
      </c>
      <c r="U22" s="34">
        <f t="shared" si="2"/>
        <v>90.592370413517159</v>
      </c>
    </row>
    <row r="23" spans="1:22">
      <c r="A23" s="23">
        <v>501</v>
      </c>
      <c r="B23" s="23">
        <v>111</v>
      </c>
      <c r="C23" s="23" t="s">
        <v>94</v>
      </c>
      <c r="D23" s="23">
        <v>64</v>
      </c>
      <c r="E23" s="23" t="s">
        <v>95</v>
      </c>
      <c r="F23" s="23">
        <v>1</v>
      </c>
      <c r="G23" s="23">
        <v>45</v>
      </c>
      <c r="H23" s="21" t="str">
        <f t="shared" si="0"/>
        <v>M0111-B-64-1</v>
      </c>
      <c r="I23" s="32">
        <f>VLOOKUP(H23,'Depth vlookup'!G22:I1069,2,FALSE)+G23/100</f>
        <v>185.20999999999998</v>
      </c>
      <c r="J23" s="24">
        <v>1</v>
      </c>
      <c r="K23" s="38">
        <v>43.23</v>
      </c>
      <c r="L23" s="45">
        <v>21.2</v>
      </c>
      <c r="M23" s="24">
        <f t="shared" si="1"/>
        <v>2320</v>
      </c>
      <c r="N23" s="39">
        <v>2.3199999999999998</v>
      </c>
      <c r="O23" s="47">
        <v>20.2</v>
      </c>
      <c r="P23" s="23">
        <v>6</v>
      </c>
      <c r="Q23" s="33">
        <f>K23*('Temperature Corrections'!$D$9+'Temperature Corrections'!$D$10*'Data Entry'!$L23+('Temperature Corrections'!$D$11*('Data Entry'!$L23^2))+('Temperature Corrections'!$D$12*('Data Entry'!$L23^3))+('Temperature Corrections'!$D$13*('Data Entry'!$L23^4))+('Temperature Corrections'!$D$14*('Data Entry'!$L23^5)))/'Temperature Corrections'!$G$6</f>
        <v>44.336840470776579</v>
      </c>
      <c r="R23" s="33">
        <f>N23*('Temperature Corrections'!$D$9+'Temperature Corrections'!$D$10*'Data Entry'!$O23+('Temperature Corrections'!$D$11*('Data Entry'!$O23^2))+('Temperature Corrections'!$D$12*('Data Entry'!$O23^3))+('Temperature Corrections'!$D$13*('Data Entry'!$O23^4))+('Temperature Corrections'!$D$14*('Data Entry'!$O23^5)))/'Temperature Corrections'!$G$6</f>
        <v>2.3298724204954313</v>
      </c>
      <c r="S23" s="33">
        <f>Q23*(34.9994*'Salinity Corrections'!$I$22+'Salinity Corrections'!$I$23)/'Salinity Corrections'!$K$23</f>
        <v>44.336840470776579</v>
      </c>
      <c r="T23" s="33">
        <f>R23*(P23*'Salinity Corrections'!$I$22+'Salinity Corrections'!$I$23)/'Salinity Corrections'!$K$23</f>
        <v>0.48554033051335044</v>
      </c>
      <c r="U23" s="34">
        <f t="shared" si="2"/>
        <v>91.3144340118982</v>
      </c>
    </row>
    <row r="24" spans="1:22">
      <c r="A24" s="23">
        <v>501</v>
      </c>
      <c r="B24" s="23">
        <v>111</v>
      </c>
      <c r="C24" s="23" t="s">
        <v>94</v>
      </c>
      <c r="D24" s="23">
        <v>67</v>
      </c>
      <c r="E24" s="23" t="s">
        <v>95</v>
      </c>
      <c r="F24" s="23">
        <v>1</v>
      </c>
      <c r="G24" s="23">
        <v>29</v>
      </c>
      <c r="H24" s="21" t="str">
        <f t="shared" si="0"/>
        <v>M0111-B-67-1</v>
      </c>
      <c r="I24" s="32">
        <f>VLOOKUP(H24,'Depth vlookup'!G23:I1070,2,FALSE)+G24/100</f>
        <v>194.2</v>
      </c>
      <c r="J24" s="24">
        <v>1</v>
      </c>
      <c r="K24" s="38">
        <v>42.84</v>
      </c>
      <c r="L24" s="45">
        <v>20.8</v>
      </c>
      <c r="M24" s="24">
        <f t="shared" si="1"/>
        <v>3002</v>
      </c>
      <c r="N24" s="39">
        <v>3.0019999999999998</v>
      </c>
      <c r="O24" s="47">
        <v>19.899999999999999</v>
      </c>
      <c r="P24" s="23">
        <v>6</v>
      </c>
      <c r="Q24" s="33">
        <f>K24*('Temperature Corrections'!$D$9+'Temperature Corrections'!$D$10*'Data Entry'!$L24+('Temperature Corrections'!$D$11*('Data Entry'!$L24^2))+('Temperature Corrections'!$D$12*('Data Entry'!$L24^3))+('Temperature Corrections'!$D$13*('Data Entry'!$L24^4))+('Temperature Corrections'!$D$14*('Data Entry'!$L24^5)))/'Temperature Corrections'!$G$6</f>
        <v>43.570434213258054</v>
      </c>
      <c r="R24" s="33">
        <f>N24*('Temperature Corrections'!$D$9+'Temperature Corrections'!$D$10*'Data Entry'!$O24+('Temperature Corrections'!$D$11*('Data Entry'!$O24^2))+('Temperature Corrections'!$D$12*('Data Entry'!$O24^3))+('Temperature Corrections'!$D$13*('Data Entry'!$O24^4))+('Temperature Corrections'!$D$14*('Data Entry'!$O24^5)))/'Temperature Corrections'!$G$6</f>
        <v>2.9956182627488235</v>
      </c>
      <c r="S24" s="33">
        <f>Q24*(34.9994*'Salinity Corrections'!$I$22+'Salinity Corrections'!$I$23)/'Salinity Corrections'!$K$23</f>
        <v>43.570434213258054</v>
      </c>
      <c r="T24" s="33">
        <f>R24*(P24*'Salinity Corrections'!$I$22+'Salinity Corrections'!$I$23)/'Salinity Corrections'!$K$23</f>
        <v>0.62428031191407651</v>
      </c>
      <c r="U24" s="34">
        <f t="shared" si="2"/>
        <v>69.793061516979122</v>
      </c>
    </row>
    <row r="25" spans="1:22">
      <c r="A25" s="23">
        <v>501</v>
      </c>
      <c r="B25" s="23">
        <v>111</v>
      </c>
      <c r="C25" s="23" t="s">
        <v>94</v>
      </c>
      <c r="D25" s="23">
        <v>67</v>
      </c>
      <c r="E25" s="23" t="s">
        <v>95</v>
      </c>
      <c r="F25" s="23">
        <v>1</v>
      </c>
      <c r="G25" s="23">
        <v>32</v>
      </c>
      <c r="H25" s="21" t="str">
        <f t="shared" si="0"/>
        <v>M0111-B-67-1</v>
      </c>
      <c r="I25" s="32">
        <f>VLOOKUP(H25,'Depth vlookup'!G24:I1071,2,FALSE)+G25/100</f>
        <v>194.23</v>
      </c>
      <c r="J25" s="24">
        <v>1</v>
      </c>
      <c r="K25" s="38">
        <v>42.8</v>
      </c>
      <c r="L25" s="45">
        <v>20.8</v>
      </c>
      <c r="M25" s="24">
        <f t="shared" si="1"/>
        <v>2990</v>
      </c>
      <c r="N25" s="39">
        <v>2.99</v>
      </c>
      <c r="O25" s="47">
        <v>19.7</v>
      </c>
      <c r="P25" s="23">
        <v>6</v>
      </c>
      <c r="Q25" s="33">
        <f>K25*('Temperature Corrections'!$D$9+'Temperature Corrections'!$D$10*'Data Entry'!$L25+('Temperature Corrections'!$D$11*('Data Entry'!$L25^2))+('Temperature Corrections'!$D$12*('Data Entry'!$L25^3))+('Temperature Corrections'!$D$13*('Data Entry'!$L25^4))+('Temperature Corrections'!$D$14*('Data Entry'!$L25^5)))/'Temperature Corrections'!$G$6</f>
        <v>43.529752201854443</v>
      </c>
      <c r="R25" s="33">
        <f>N25*('Temperature Corrections'!$D$9+'Temperature Corrections'!$D$10*'Data Entry'!$O25+('Temperature Corrections'!$D$11*('Data Entry'!$O25^2))+('Temperature Corrections'!$D$12*('Data Entry'!$O25^3))+('Temperature Corrections'!$D$13*('Data Entry'!$O25^4))+('Temperature Corrections'!$D$14*('Data Entry'!$O25^5)))/'Temperature Corrections'!$G$6</f>
        <v>2.9709425178593403</v>
      </c>
      <c r="S25" s="33">
        <f>Q25*(34.9994*'Salinity Corrections'!$I$22+'Salinity Corrections'!$I$23)/'Salinity Corrections'!$K$23</f>
        <v>43.529752201854443</v>
      </c>
      <c r="T25" s="33">
        <f>R25*(P25*'Salinity Corrections'!$I$22+'Salinity Corrections'!$I$23)/'Salinity Corrections'!$K$23</f>
        <v>0.61913794050184479</v>
      </c>
      <c r="U25" s="34">
        <f t="shared" si="2"/>
        <v>70.307033948801816</v>
      </c>
    </row>
    <row r="26" spans="1:22">
      <c r="A26" s="23">
        <v>501</v>
      </c>
      <c r="B26" s="23">
        <v>111</v>
      </c>
      <c r="C26" s="23" t="s">
        <v>94</v>
      </c>
      <c r="D26" s="23">
        <v>71</v>
      </c>
      <c r="E26" s="23" t="s">
        <v>95</v>
      </c>
      <c r="F26" s="23">
        <v>1</v>
      </c>
      <c r="G26" s="23">
        <v>3</v>
      </c>
      <c r="H26" s="21" t="str">
        <f t="shared" si="0"/>
        <v>M0111-B-71-1</v>
      </c>
      <c r="I26" s="32">
        <f>VLOOKUP(H26,'Depth vlookup'!G25:I1072,2,FALSE)+G26/100</f>
        <v>206.14000000000001</v>
      </c>
      <c r="J26" s="24">
        <v>1</v>
      </c>
      <c r="K26" s="38">
        <v>43.03</v>
      </c>
      <c r="L26" s="45">
        <v>21.1</v>
      </c>
      <c r="M26" s="24">
        <f t="shared" si="1"/>
        <v>4100</v>
      </c>
      <c r="N26" s="39">
        <v>4.0999999999999996</v>
      </c>
      <c r="O26" s="47">
        <v>21.8</v>
      </c>
      <c r="P26" s="23">
        <v>6</v>
      </c>
      <c r="Q26" s="33">
        <f>K26*('Temperature Corrections'!$D$9+'Temperature Corrections'!$D$10*'Data Entry'!$L26+('Temperature Corrections'!$D$11*('Data Entry'!$L26^2))+('Temperature Corrections'!$D$12*('Data Entry'!$L26^3))+('Temperature Corrections'!$D$13*('Data Entry'!$L26^4))+('Temperature Corrections'!$D$14*('Data Entry'!$L26^5)))/'Temperature Corrections'!$G$6</f>
        <v>44.039634954836302</v>
      </c>
      <c r="R26" s="33">
        <f>N26*('Temperature Corrections'!$D$9+'Temperature Corrections'!$D$10*'Data Entry'!$O26+('Temperature Corrections'!$D$11*('Data Entry'!$O26^2))+('Temperature Corrections'!$D$12*('Data Entry'!$O26^3))+('Temperature Corrections'!$D$13*('Data Entry'!$O26^4))+('Temperature Corrections'!$D$14*('Data Entry'!$O26^5)))/'Temperature Corrections'!$G$6</f>
        <v>4.2577139306456999</v>
      </c>
      <c r="S26" s="33">
        <f>Q26*(34.9994*'Salinity Corrections'!$I$22+'Salinity Corrections'!$I$23)/'Salinity Corrections'!$K$23</f>
        <v>44.039634954836302</v>
      </c>
      <c r="T26" s="33">
        <f>R26*(P26*'Salinity Corrections'!$I$22+'Salinity Corrections'!$I$23)/'Salinity Corrections'!$K$23</f>
        <v>0.88729829622062062</v>
      </c>
      <c r="U26" s="34">
        <f t="shared" si="2"/>
        <v>49.633404169059908</v>
      </c>
    </row>
    <row r="27" spans="1:22">
      <c r="A27" s="23">
        <v>501</v>
      </c>
      <c r="B27" s="23">
        <v>111</v>
      </c>
      <c r="C27" s="23" t="s">
        <v>94</v>
      </c>
      <c r="D27" s="23">
        <v>71</v>
      </c>
      <c r="E27" s="23" t="s">
        <v>95</v>
      </c>
      <c r="F27" s="23">
        <v>1</v>
      </c>
      <c r="G27" s="23">
        <v>7</v>
      </c>
      <c r="H27" s="21" t="str">
        <f t="shared" si="0"/>
        <v>M0111-B-71-1</v>
      </c>
      <c r="I27" s="32">
        <f>VLOOKUP(H27,'Depth vlookup'!G26:I1073,2,FALSE)+G27/100</f>
        <v>206.18</v>
      </c>
      <c r="J27" s="24">
        <v>1</v>
      </c>
      <c r="K27" s="38">
        <v>43</v>
      </c>
      <c r="L27" s="45">
        <v>21.1</v>
      </c>
      <c r="M27" s="24">
        <f t="shared" si="1"/>
        <v>4014.9999999999995</v>
      </c>
      <c r="N27" s="39">
        <v>4.0149999999999997</v>
      </c>
      <c r="O27" s="47">
        <v>21.7</v>
      </c>
      <c r="P27" s="23">
        <v>6</v>
      </c>
      <c r="Q27" s="33">
        <f>K27*('Temperature Corrections'!$D$9+'Temperature Corrections'!$D$10*'Data Entry'!$L27+('Temperature Corrections'!$D$11*('Data Entry'!$L27^2))+('Temperature Corrections'!$D$12*('Data Entry'!$L27^3))+('Temperature Corrections'!$D$13*('Data Entry'!$L27^4))+('Temperature Corrections'!$D$14*('Data Entry'!$L27^5)))/'Temperature Corrections'!$G$6</f>
        <v>44.008931049452968</v>
      </c>
      <c r="R27" s="33">
        <f>N27*('Temperature Corrections'!$D$9+'Temperature Corrections'!$D$10*'Data Entry'!$O27+('Temperature Corrections'!$D$11*('Data Entry'!$O27^2))+('Temperature Corrections'!$D$12*('Data Entry'!$O27^3))+('Temperature Corrections'!$D$13*('Data Entry'!$O27^4))+('Temperature Corrections'!$D$14*('Data Entry'!$O27^5)))/'Temperature Corrections'!$G$6</f>
        <v>4.1608256647990265</v>
      </c>
      <c r="S27" s="33">
        <f>Q27*(34.9994*'Salinity Corrections'!$I$22+'Salinity Corrections'!$I$23)/'Salinity Corrections'!$K$23</f>
        <v>44.008931049452961</v>
      </c>
      <c r="T27" s="33">
        <f>R27*(P27*'Salinity Corrections'!$I$22+'Salinity Corrections'!$I$23)/'Salinity Corrections'!$K$23</f>
        <v>0.86710699295086646</v>
      </c>
      <c r="U27" s="34">
        <f t="shared" si="2"/>
        <v>50.753749430258225</v>
      </c>
    </row>
    <row r="28" spans="1:22">
      <c r="A28" s="23">
        <v>501</v>
      </c>
      <c r="B28" s="23">
        <v>111</v>
      </c>
      <c r="C28" s="23" t="s">
        <v>94</v>
      </c>
      <c r="D28" s="23">
        <v>87</v>
      </c>
      <c r="E28" s="23" t="s">
        <v>95</v>
      </c>
      <c r="F28" s="23">
        <v>1</v>
      </c>
      <c r="G28" s="23">
        <v>41</v>
      </c>
      <c r="H28" s="21" t="str">
        <f t="shared" si="0"/>
        <v>M0111-B-87-1</v>
      </c>
      <c r="I28" s="32">
        <f>VLOOKUP(H28,'Depth vlookup'!G27:I1074,2,FALSE)+G28/100</f>
        <v>234.14</v>
      </c>
      <c r="J28" s="24">
        <v>1</v>
      </c>
      <c r="K28" s="38">
        <v>43</v>
      </c>
      <c r="L28" s="45">
        <v>21.2</v>
      </c>
      <c r="M28" s="24">
        <f t="shared" si="1"/>
        <v>3383</v>
      </c>
      <c r="N28" s="39">
        <v>3.383</v>
      </c>
      <c r="O28" s="47">
        <v>20.5</v>
      </c>
      <c r="P28" s="23">
        <v>6</v>
      </c>
      <c r="Q28" s="33">
        <f>K28*('Temperature Corrections'!$D$9+'Temperature Corrections'!$D$10*'Data Entry'!$L28+('Temperature Corrections'!$D$11*('Data Entry'!$L28^2))+('Temperature Corrections'!$D$12*('Data Entry'!$L28^3))+('Temperature Corrections'!$D$13*('Data Entry'!$L28^4))+('Temperature Corrections'!$D$14*('Data Entry'!$L28^5)))/'Temperature Corrections'!$G$6</f>
        <v>44.1009516595742</v>
      </c>
      <c r="R28" s="33">
        <f>N28*('Temperature Corrections'!$D$9+'Temperature Corrections'!$D$10*'Data Entry'!$O28+('Temperature Corrections'!$D$11*('Data Entry'!$O28^2))+('Temperature Corrections'!$D$12*('Data Entry'!$O28^3))+('Temperature Corrections'!$D$13*('Data Entry'!$O28^4))+('Temperature Corrections'!$D$14*('Data Entry'!$O28^5)))/'Temperature Corrections'!$G$6</f>
        <v>3.4190204213633955</v>
      </c>
      <c r="S28" s="33">
        <f>Q28*(34.9994*'Salinity Corrections'!$I$22+'Salinity Corrections'!$I$23)/'Salinity Corrections'!$K$23</f>
        <v>44.1009516595742</v>
      </c>
      <c r="T28" s="33">
        <f>R28*(P28*'Salinity Corrections'!$I$22+'Salinity Corrections'!$I$23)/'Salinity Corrections'!$K$23</f>
        <v>0.71251639824453339</v>
      </c>
      <c r="U28" s="34">
        <f t="shared" si="2"/>
        <v>61.894647994387483</v>
      </c>
    </row>
    <row r="29" spans="1:22">
      <c r="A29" s="23">
        <v>501</v>
      </c>
      <c r="B29" s="23">
        <v>111</v>
      </c>
      <c r="C29" s="23" t="s">
        <v>94</v>
      </c>
      <c r="D29" s="23">
        <v>87</v>
      </c>
      <c r="E29" s="23" t="s">
        <v>95</v>
      </c>
      <c r="F29" s="23">
        <v>1</v>
      </c>
      <c r="G29" s="23">
        <v>43</v>
      </c>
      <c r="H29" s="21" t="str">
        <f t="shared" si="0"/>
        <v>M0111-B-87-1</v>
      </c>
      <c r="I29" s="32">
        <f>VLOOKUP(H29,'Depth vlookup'!G28:I1075,2,FALSE)+G29/100</f>
        <v>234.16</v>
      </c>
      <c r="J29" s="24">
        <v>1</v>
      </c>
      <c r="K29" s="38">
        <v>43</v>
      </c>
      <c r="L29" s="45">
        <v>21.2</v>
      </c>
      <c r="M29" s="24">
        <f t="shared" si="1"/>
        <v>3524</v>
      </c>
      <c r="N29" s="39">
        <v>3.524</v>
      </c>
      <c r="O29" s="47">
        <v>20.399999999999999</v>
      </c>
      <c r="P29" s="23">
        <v>6</v>
      </c>
      <c r="Q29" s="33">
        <f>K29*('Temperature Corrections'!$D$9+'Temperature Corrections'!$D$10*'Data Entry'!$L29+('Temperature Corrections'!$D$11*('Data Entry'!$L29^2))+('Temperature Corrections'!$D$12*('Data Entry'!$L29^3))+('Temperature Corrections'!$D$13*('Data Entry'!$L29^4))+('Temperature Corrections'!$D$14*('Data Entry'!$L29^5)))/'Temperature Corrections'!$G$6</f>
        <v>44.1009516595742</v>
      </c>
      <c r="R29" s="33">
        <f>N29*('Temperature Corrections'!$D$9+'Temperature Corrections'!$D$10*'Data Entry'!$O29+('Temperature Corrections'!$D$11*('Data Entry'!$O29^2))+('Temperature Corrections'!$D$12*('Data Entry'!$O29^3))+('Temperature Corrections'!$D$13*('Data Entry'!$O29^4))+('Temperature Corrections'!$D$14*('Data Entry'!$O29^5)))/'Temperature Corrections'!$G$6</f>
        <v>3.5540088717888945</v>
      </c>
      <c r="S29" s="33">
        <f>Q29*(34.9994*'Salinity Corrections'!$I$22+'Salinity Corrections'!$I$23)/'Salinity Corrections'!$K$23</f>
        <v>44.1009516595742</v>
      </c>
      <c r="T29" s="33">
        <f>R29*(P29*'Salinity Corrections'!$I$22+'Salinity Corrections'!$I$23)/'Salinity Corrections'!$K$23</f>
        <v>0.74064769687638909</v>
      </c>
      <c r="U29" s="34">
        <f t="shared" si="2"/>
        <v>59.543763985989223</v>
      </c>
    </row>
    <row r="30" spans="1:22" s="36" customFormat="1">
      <c r="A30" s="30">
        <v>501</v>
      </c>
      <c r="B30" s="30">
        <v>111</v>
      </c>
      <c r="C30" s="23" t="s">
        <v>94</v>
      </c>
      <c r="D30" s="23">
        <v>93</v>
      </c>
      <c r="E30" s="23" t="s">
        <v>95</v>
      </c>
      <c r="F30" s="23">
        <v>1</v>
      </c>
      <c r="G30" s="23">
        <v>41</v>
      </c>
      <c r="H30" s="22" t="str">
        <f t="shared" si="0"/>
        <v>M0111-B-93-1</v>
      </c>
      <c r="I30" s="32">
        <f>VLOOKUP(H30,'Depth vlookup'!G29:I1076,2,FALSE)+G30/100</f>
        <v>245.69</v>
      </c>
      <c r="J30" s="24">
        <v>1</v>
      </c>
      <c r="K30" s="38">
        <v>42.75</v>
      </c>
      <c r="L30" s="46">
        <v>21.1</v>
      </c>
      <c r="M30" s="24">
        <f t="shared" si="1"/>
        <v>2463</v>
      </c>
      <c r="N30" s="39">
        <v>2.4630000000000001</v>
      </c>
      <c r="O30" s="47">
        <v>18.899999999999999</v>
      </c>
      <c r="P30" s="30">
        <v>6</v>
      </c>
      <c r="Q30" s="33">
        <f>K30*('Temperature Corrections'!$D$9+'Temperature Corrections'!$D$10*'Data Entry'!$L30+('Temperature Corrections'!$D$11*('Data Entry'!$L30^2))+('Temperature Corrections'!$D$12*('Data Entry'!$L30^3))+('Temperature Corrections'!$D$13*('Data Entry'!$L30^4))+('Temperature Corrections'!$D$14*('Data Entry'!$L30^5)))/'Temperature Corrections'!$G$6</f>
        <v>43.753065171258477</v>
      </c>
      <c r="R30" s="33">
        <f>N30*('Temperature Corrections'!$D$9+'Temperature Corrections'!$D$10*'Data Entry'!$O30+('Temperature Corrections'!$D$11*('Data Entry'!$O30^2))+('Temperature Corrections'!$D$12*('Data Entry'!$O30^3))+('Temperature Corrections'!$D$13*('Data Entry'!$O30^4))+('Temperature Corrections'!$D$14*('Data Entry'!$O30^5)))/'Temperature Corrections'!$G$6</f>
        <v>2.4055776371176454</v>
      </c>
      <c r="S30" s="33">
        <f>Q30*(34.9994*'Salinity Corrections'!$I$22+'Salinity Corrections'!$I$23)/'Salinity Corrections'!$K$23</f>
        <v>43.753065171258484</v>
      </c>
      <c r="T30" s="33">
        <f>R30*(P30*'Salinity Corrections'!$I$22+'Salinity Corrections'!$I$23)/'Salinity Corrections'!$K$23</f>
        <v>0.50131713252919563</v>
      </c>
      <c r="U30" s="34">
        <f t="shared" ref="U30:U31" si="3">S30/T30</f>
        <v>87.276221641418573</v>
      </c>
    </row>
    <row r="31" spans="1:22">
      <c r="A31" s="30">
        <v>501</v>
      </c>
      <c r="B31" s="30">
        <v>111</v>
      </c>
      <c r="C31" s="23" t="s">
        <v>94</v>
      </c>
      <c r="D31" s="23">
        <v>93</v>
      </c>
      <c r="E31" s="23" t="s">
        <v>95</v>
      </c>
      <c r="F31" s="23">
        <v>1</v>
      </c>
      <c r="G31" s="23">
        <v>43</v>
      </c>
      <c r="H31" s="22" t="str">
        <f t="shared" ref="H31:H34" si="4">CONCATENATE("M0",B31,"-",C31, "-",D31, "-",F31)</f>
        <v>M0111-B-93-1</v>
      </c>
      <c r="I31" s="32">
        <f>VLOOKUP(H31,'Depth vlookup'!G30:I1077,2,FALSE)+G31/100</f>
        <v>245.71</v>
      </c>
      <c r="J31" s="24">
        <v>1</v>
      </c>
      <c r="K31" s="38">
        <v>42.75</v>
      </c>
      <c r="L31" s="46">
        <v>21.1</v>
      </c>
      <c r="M31" s="24">
        <f t="shared" si="1"/>
        <v>2319</v>
      </c>
      <c r="N31" s="40">
        <v>2.319</v>
      </c>
      <c r="O31" s="47">
        <v>19</v>
      </c>
      <c r="P31" s="30">
        <v>6</v>
      </c>
      <c r="Q31" s="33">
        <f>K31*('Temperature Corrections'!$D$9+'Temperature Corrections'!$D$10*'Data Entry'!$L31+('Temperature Corrections'!$D$11*('Data Entry'!$L31^2))+('Temperature Corrections'!$D$12*('Data Entry'!$L31^3))+('Temperature Corrections'!$D$13*('Data Entry'!$L31^4))+('Temperature Corrections'!$D$14*('Data Entry'!$L31^5)))/'Temperature Corrections'!$G$6</f>
        <v>43.753065171258477</v>
      </c>
      <c r="R31" s="33">
        <f>N31*('Temperature Corrections'!$D$9+'Temperature Corrections'!$D$10*'Data Entry'!$O31+('Temperature Corrections'!$D$11*('Data Entry'!$O31^2))+('Temperature Corrections'!$D$12*('Data Entry'!$O31^3))+('Temperature Corrections'!$D$13*('Data Entry'!$O31^4))+('Temperature Corrections'!$D$14*('Data Entry'!$O31^5)))/'Temperature Corrections'!$G$6</f>
        <v>2.2698347381574258</v>
      </c>
      <c r="S31" s="33">
        <f>Q31*(34.9994*'Salinity Corrections'!$I$22+'Salinity Corrections'!$I$23)/'Salinity Corrections'!$K$23</f>
        <v>43.753065171258484</v>
      </c>
      <c r="T31" s="33">
        <f>R31*(P31*'Salinity Corrections'!$I$22+'Salinity Corrections'!$I$23)/'Salinity Corrections'!$K$23</f>
        <v>0.47302860846830719</v>
      </c>
      <c r="U31" s="34">
        <f t="shared" si="3"/>
        <v>92.495600452017754</v>
      </c>
    </row>
    <row r="32" spans="1:22">
      <c r="A32" s="23">
        <v>501</v>
      </c>
      <c r="B32" s="23">
        <v>111</v>
      </c>
      <c r="C32" s="23" t="s">
        <v>94</v>
      </c>
      <c r="D32" s="23">
        <v>102</v>
      </c>
      <c r="E32" s="23" t="s">
        <v>95</v>
      </c>
      <c r="F32" s="23">
        <v>1</v>
      </c>
      <c r="G32" s="23">
        <v>13</v>
      </c>
      <c r="H32" s="24" t="str">
        <f t="shared" si="4"/>
        <v>M0111-B-102-1</v>
      </c>
      <c r="I32" s="32">
        <f>VLOOKUP(H32,'Depth vlookup'!G31:I1078,2,FALSE)+G32/100</f>
        <v>265.15999999999997</v>
      </c>
      <c r="J32" s="24">
        <v>1</v>
      </c>
      <c r="K32" s="38">
        <v>42.05</v>
      </c>
      <c r="L32" s="45">
        <v>20.6</v>
      </c>
      <c r="M32" s="24">
        <f t="shared" si="1"/>
        <v>4183</v>
      </c>
      <c r="N32" s="40">
        <v>4.1829999999999998</v>
      </c>
      <c r="O32" s="47">
        <v>20.6</v>
      </c>
      <c r="P32" s="23">
        <v>6</v>
      </c>
      <c r="Q32" s="33">
        <f>K32*('Temperature Corrections'!$D$9+'Temperature Corrections'!$D$10*'Data Entry'!$L32+('Temperature Corrections'!$D$11*('Data Entry'!$L32^2))+('Temperature Corrections'!$D$12*('Data Entry'!$L32^3))+('Temperature Corrections'!$D$13*('Data Entry'!$L32^4))+('Temperature Corrections'!$D$14*('Data Entry'!$L32^5)))/'Temperature Corrections'!$G$6</f>
        <v>42.587423128017534</v>
      </c>
      <c r="R32" s="33">
        <f>N32*('Temperature Corrections'!$D$9+'Temperature Corrections'!$D$10*'Data Entry'!$O32+('Temperature Corrections'!$D$11*('Data Entry'!$O32^2))+('Temperature Corrections'!$D$12*('Data Entry'!$O32^3))+('Temperature Corrections'!$D$13*('Data Entry'!$O32^4))+('Temperature Corrections'!$D$14*('Data Entry'!$O32^5)))/'Temperature Corrections'!$G$6</f>
        <v>4.2364611401782959</v>
      </c>
      <c r="S32" s="33">
        <f>Q32*(34.9994*'Salinity Corrections'!$I$22+'Salinity Corrections'!$I$23)/'Salinity Corrections'!$K$23</f>
        <v>42.587423128017541</v>
      </c>
      <c r="T32" s="33">
        <f>R32*(P32*'Salinity Corrections'!$I$22+'Salinity Corrections'!$I$23)/'Salinity Corrections'!$K$23</f>
        <v>0.88286926104380159</v>
      </c>
      <c r="U32" s="34">
        <f t="shared" ref="U32:U33" si="5">S32/T32</f>
        <v>48.237519423506875</v>
      </c>
    </row>
    <row r="33" spans="1:21">
      <c r="A33" s="23">
        <v>501</v>
      </c>
      <c r="B33" s="23">
        <v>111</v>
      </c>
      <c r="C33" s="23" t="s">
        <v>94</v>
      </c>
      <c r="D33" s="23">
        <v>102</v>
      </c>
      <c r="E33" s="23" t="s">
        <v>95</v>
      </c>
      <c r="F33" s="23">
        <v>1</v>
      </c>
      <c r="G33" s="23">
        <v>16</v>
      </c>
      <c r="H33" s="24" t="str">
        <f t="shared" si="4"/>
        <v>M0111-B-102-1</v>
      </c>
      <c r="I33" s="32">
        <f>VLOOKUP(H33,'Depth vlookup'!G32:I1079,2,FALSE)+G33/100</f>
        <v>265.19</v>
      </c>
      <c r="J33" s="24">
        <v>1</v>
      </c>
      <c r="K33" s="37">
        <v>42.1</v>
      </c>
      <c r="L33" s="45">
        <v>20.6</v>
      </c>
      <c r="M33" s="24">
        <f t="shared" si="1"/>
        <v>3477</v>
      </c>
      <c r="N33" s="40">
        <v>3.4769999999999999</v>
      </c>
      <c r="O33" s="47">
        <v>20.399999999999999</v>
      </c>
      <c r="P33" s="23">
        <v>6</v>
      </c>
      <c r="Q33" s="33">
        <f>K33*('Temperature Corrections'!$D$9+'Temperature Corrections'!$D$10*'Data Entry'!$L33+('Temperature Corrections'!$D$11*('Data Entry'!$L33^2))+('Temperature Corrections'!$D$12*('Data Entry'!$L33^3))+('Temperature Corrections'!$D$13*('Data Entry'!$L33^4))+('Temperature Corrections'!$D$14*('Data Entry'!$L33^5)))/'Temperature Corrections'!$G$6</f>
        <v>42.638062156707214</v>
      </c>
      <c r="R33" s="33">
        <f>N33*('Temperature Corrections'!$D$9+'Temperature Corrections'!$D$10*'Data Entry'!$O33+('Temperature Corrections'!$D$11*('Data Entry'!$O33^2))+('Temperature Corrections'!$D$12*('Data Entry'!$O33^3))+('Temperature Corrections'!$D$13*('Data Entry'!$O33^4))+('Temperature Corrections'!$D$14*('Data Entry'!$O33^5)))/'Temperature Corrections'!$G$6</f>
        <v>3.5066086399574306</v>
      </c>
      <c r="S33" s="33">
        <f>Q33*(34.9994*'Salinity Corrections'!$I$22+'Salinity Corrections'!$I$23)/'Salinity Corrections'!$K$23</f>
        <v>42.638062156707214</v>
      </c>
      <c r="T33" s="33">
        <f>R33*(P33*'Salinity Corrections'!$I$22+'Salinity Corrections'!$I$23)/'Salinity Corrections'!$K$23</f>
        <v>0.73076959195210134</v>
      </c>
      <c r="U33" s="34">
        <f t="shared" si="5"/>
        <v>58.346793060735273</v>
      </c>
    </row>
    <row r="34" spans="1:21">
      <c r="A34" s="23">
        <v>501</v>
      </c>
      <c r="B34" s="23">
        <v>111</v>
      </c>
      <c r="C34" s="23" t="s">
        <v>94</v>
      </c>
      <c r="D34" s="23">
        <v>114</v>
      </c>
      <c r="E34" s="23" t="s">
        <v>95</v>
      </c>
      <c r="F34" s="23">
        <v>1</v>
      </c>
      <c r="G34" s="23">
        <v>38</v>
      </c>
      <c r="H34" s="24" t="str">
        <f t="shared" si="4"/>
        <v>M0111-B-114-1</v>
      </c>
      <c r="I34" s="32">
        <f>VLOOKUP(H34,'Depth vlookup'!G33:I1080,2,FALSE)+G34/100</f>
        <v>281.90999999999997</v>
      </c>
      <c r="J34" s="24">
        <v>1</v>
      </c>
      <c r="K34" s="37">
        <v>43.22</v>
      </c>
      <c r="L34" s="45">
        <v>21</v>
      </c>
      <c r="M34" s="24">
        <f t="shared" si="1"/>
        <v>2387</v>
      </c>
      <c r="N34" s="40">
        <v>2.387</v>
      </c>
      <c r="O34" s="47">
        <v>20.2</v>
      </c>
      <c r="P34" s="23">
        <v>6</v>
      </c>
      <c r="Q34" s="33">
        <f>K34*('Temperature Corrections'!$D$9+'Temperature Corrections'!$D$10*'Data Entry'!$L34+('Temperature Corrections'!$D$11*('Data Entry'!$L34^2))+('Temperature Corrections'!$D$12*('Data Entry'!$L34^3))+('Temperature Corrections'!$D$13*('Data Entry'!$L34^4))+('Temperature Corrections'!$D$14*('Data Entry'!$L34^5)))/'Temperature Corrections'!$G$6</f>
        <v>44.141650427270356</v>
      </c>
      <c r="R34" s="33">
        <f>N34*('Temperature Corrections'!$D$9+'Temperature Corrections'!$D$10*'Data Entry'!$O34+('Temperature Corrections'!$D$11*('Data Entry'!$O34^2))+('Temperature Corrections'!$D$12*('Data Entry'!$O34^3))+('Temperature Corrections'!$D$13*('Data Entry'!$O34^4))+('Temperature Corrections'!$D$14*('Data Entry'!$O34^5)))/'Temperature Corrections'!$G$6</f>
        <v>2.3971575291907734</v>
      </c>
      <c r="S34" s="33">
        <f>Q34*(34.9994*'Salinity Corrections'!$I$22+'Salinity Corrections'!$I$23)/'Salinity Corrections'!$K$23</f>
        <v>44.141650427270356</v>
      </c>
      <c r="T34" s="33">
        <f>R34*(P34*'Salinity Corrections'!$I$22+'Salinity Corrections'!$I$23)/'Salinity Corrections'!$K$23</f>
        <v>0.49956240040317557</v>
      </c>
      <c r="U34" s="34">
        <f t="shared" ref="U34:U35" si="6">S34/T34</f>
        <v>88.360634010176724</v>
      </c>
    </row>
    <row r="35" spans="1:21">
      <c r="A35" s="23">
        <v>501</v>
      </c>
      <c r="B35" s="23">
        <v>111</v>
      </c>
      <c r="C35" s="23" t="s">
        <v>94</v>
      </c>
      <c r="D35" s="23">
        <v>114</v>
      </c>
      <c r="E35" s="23" t="s">
        <v>95</v>
      </c>
      <c r="F35" s="23">
        <v>1</v>
      </c>
      <c r="G35" s="23">
        <v>40</v>
      </c>
      <c r="H35" s="24" t="str">
        <f t="shared" ref="H35:H36" si="7">CONCATENATE("M0",B35,"-",C35, "-",D35, "-",F35)</f>
        <v>M0111-B-114-1</v>
      </c>
      <c r="I35" s="32">
        <f>VLOOKUP(H35,'Depth vlookup'!G34:I1081,2,FALSE)+G35/100</f>
        <v>281.92999999999995</v>
      </c>
      <c r="J35" s="24">
        <v>1</v>
      </c>
      <c r="K35" s="37">
        <v>43.22</v>
      </c>
      <c r="L35" s="45">
        <v>21</v>
      </c>
      <c r="M35" s="24">
        <f t="shared" si="1"/>
        <v>2541</v>
      </c>
      <c r="N35" s="40">
        <v>2.5409999999999999</v>
      </c>
      <c r="O35" s="47">
        <v>20.100000000000001</v>
      </c>
      <c r="P35" s="23">
        <v>6</v>
      </c>
      <c r="Q35" s="33">
        <f>K35*('Temperature Corrections'!$D$9+'Temperature Corrections'!$D$10*'Data Entry'!$L35+('Temperature Corrections'!$D$11*('Data Entry'!$L35^2))+('Temperature Corrections'!$D$12*('Data Entry'!$L35^3))+('Temperature Corrections'!$D$13*('Data Entry'!$L35^4))+('Temperature Corrections'!$D$14*('Data Entry'!$L35^5)))/'Temperature Corrections'!$G$6</f>
        <v>44.141650427270356</v>
      </c>
      <c r="R35" s="33">
        <f>N35*('Temperature Corrections'!$D$9+'Temperature Corrections'!$D$10*'Data Entry'!$O35+('Temperature Corrections'!$D$11*('Data Entry'!$O35^2))+('Temperature Corrections'!$D$12*('Data Entry'!$O35^3))+('Temperature Corrections'!$D$13*('Data Entry'!$O35^4))+('Temperature Corrections'!$D$14*('Data Entry'!$O35^5)))/'Temperature Corrections'!$G$6</f>
        <v>2.5464048696237009</v>
      </c>
      <c r="S35" s="33">
        <f>Q35*(34.9994*'Salinity Corrections'!$I$22+'Salinity Corrections'!$I$23)/'Salinity Corrections'!$K$23</f>
        <v>44.141650427270356</v>
      </c>
      <c r="T35" s="33">
        <f>R35*(P35*'Salinity Corrections'!$I$22+'Salinity Corrections'!$I$23)/'Salinity Corrections'!$K$23</f>
        <v>0.53066522061108756</v>
      </c>
      <c r="U35" s="34">
        <f t="shared" si="6"/>
        <v>83.181728729911939</v>
      </c>
    </row>
    <row r="36" spans="1:21">
      <c r="A36" s="23">
        <v>501</v>
      </c>
      <c r="B36" s="23">
        <v>111</v>
      </c>
      <c r="C36" s="23" t="s">
        <v>94</v>
      </c>
      <c r="D36" s="23">
        <v>126</v>
      </c>
      <c r="E36" s="23" t="s">
        <v>95</v>
      </c>
      <c r="F36" s="23">
        <v>1</v>
      </c>
      <c r="G36" s="23">
        <v>32</v>
      </c>
      <c r="H36" s="24" t="str">
        <f t="shared" si="7"/>
        <v>M0111-B-126-1</v>
      </c>
      <c r="I36" s="32">
        <f>VLOOKUP(H36,'Depth vlookup'!G35:I1082,2,FALSE)+G36/100</f>
        <v>307.39999999999998</v>
      </c>
      <c r="J36" s="24">
        <v>1</v>
      </c>
      <c r="K36" s="37">
        <v>42.42</v>
      </c>
      <c r="L36" s="45">
        <v>21.1</v>
      </c>
      <c r="M36" s="24">
        <f t="shared" ref="M36:M45" si="8">N36*1000</f>
        <v>3927</v>
      </c>
      <c r="N36" s="40">
        <v>3.927</v>
      </c>
      <c r="O36" s="47">
        <v>18.100000000000001</v>
      </c>
      <c r="P36" s="23">
        <v>6</v>
      </c>
      <c r="Q36" s="33">
        <f>K36*('Temperature Corrections'!$D$9+'Temperature Corrections'!$D$10*'Data Entry'!$L36+('Temperature Corrections'!$D$11*('Data Entry'!$L36^2))+('Temperature Corrections'!$D$12*('Data Entry'!$L36^3))+('Temperature Corrections'!$D$13*('Data Entry'!$L36^4))+('Temperature Corrections'!$D$14*('Data Entry'!$L36^5)))/'Temperature Corrections'!$G$6</f>
        <v>43.415322212041744</v>
      </c>
      <c r="R36" s="33">
        <f>N36*('Temperature Corrections'!$D$9+'Temperature Corrections'!$D$10*'Data Entry'!$O36+('Temperature Corrections'!$D$11*('Data Entry'!$O36^2))+('Temperature Corrections'!$D$12*('Data Entry'!$O36^3))+('Temperature Corrections'!$D$13*('Data Entry'!$O36^4))+('Temperature Corrections'!$D$14*('Data Entry'!$O36^5)))/'Temperature Corrections'!$G$6</f>
        <v>3.7692594303253331</v>
      </c>
      <c r="S36" s="33">
        <f>Q36*(34.9994*'Salinity Corrections'!$I$22+'Salinity Corrections'!$I$23)/'Salinity Corrections'!$K$23</f>
        <v>43.415322212041744</v>
      </c>
      <c r="T36" s="33">
        <f>R36*(P36*'Salinity Corrections'!$I$22+'Salinity Corrections'!$I$23)/'Salinity Corrections'!$K$23</f>
        <v>0.78550544377084863</v>
      </c>
      <c r="U36" s="34">
        <f t="shared" ref="U36:U37" si="9">S36/T36</f>
        <v>55.270555482880994</v>
      </c>
    </row>
    <row r="37" spans="1:21">
      <c r="A37" s="23">
        <v>501</v>
      </c>
      <c r="B37" s="23">
        <v>111</v>
      </c>
      <c r="C37" s="23" t="s">
        <v>94</v>
      </c>
      <c r="D37" s="23">
        <v>126</v>
      </c>
      <c r="E37" s="23" t="s">
        <v>95</v>
      </c>
      <c r="F37" s="23">
        <v>1</v>
      </c>
      <c r="G37" s="23">
        <v>30</v>
      </c>
      <c r="H37" s="24" t="str">
        <f t="shared" ref="H37:H40" si="10">CONCATENATE("M0",B37,"-",C37, "-",D37, "-",F37)</f>
        <v>M0111-B-126-1</v>
      </c>
      <c r="I37" s="32">
        <f>VLOOKUP(H37,'Depth vlookup'!G36:I1083,2,FALSE)+G37/100</f>
        <v>307.38</v>
      </c>
      <c r="J37" s="24">
        <v>1</v>
      </c>
      <c r="K37" s="37">
        <v>42.42</v>
      </c>
      <c r="L37" s="45">
        <v>21.1</v>
      </c>
      <c r="M37" s="24">
        <f t="shared" si="8"/>
        <v>3777</v>
      </c>
      <c r="N37" s="40">
        <v>3.7770000000000001</v>
      </c>
      <c r="O37" s="47">
        <v>18.3</v>
      </c>
      <c r="P37" s="23">
        <v>6</v>
      </c>
      <c r="Q37" s="33">
        <f>K37*('Temperature Corrections'!$D$9+'Temperature Corrections'!$D$10*'Data Entry'!$L37+('Temperature Corrections'!$D$11*('Data Entry'!$L37^2))+('Temperature Corrections'!$D$12*('Data Entry'!$L37^3))+('Temperature Corrections'!$D$13*('Data Entry'!$L37^4))+('Temperature Corrections'!$D$14*('Data Entry'!$L37^5)))/'Temperature Corrections'!$G$6</f>
        <v>43.415322212041744</v>
      </c>
      <c r="R37" s="33">
        <f>N37*('Temperature Corrections'!$D$9+'Temperature Corrections'!$D$10*'Data Entry'!$O37+('Temperature Corrections'!$D$11*('Data Entry'!$O37^2))+('Temperature Corrections'!$D$12*('Data Entry'!$O37^3))+('Temperature Corrections'!$D$13*('Data Entry'!$O37^4))+('Temperature Corrections'!$D$14*('Data Entry'!$O37^5)))/'Temperature Corrections'!$G$6</f>
        <v>3.6411677504459403</v>
      </c>
      <c r="S37" s="33">
        <f>Q37*(34.9994*'Salinity Corrections'!$I$22+'Salinity Corrections'!$I$23)/'Salinity Corrections'!$K$23</f>
        <v>43.415322212041744</v>
      </c>
      <c r="T37" s="33">
        <f>R37*(P37*'Salinity Corrections'!$I$22+'Salinity Corrections'!$I$23)/'Salinity Corrections'!$K$23</f>
        <v>0.75881141707756494</v>
      </c>
      <c r="U37" s="34">
        <f t="shared" si="9"/>
        <v>57.214903775761023</v>
      </c>
    </row>
    <row r="38" spans="1:21">
      <c r="A38" s="23">
        <v>501</v>
      </c>
      <c r="B38" s="23">
        <v>111</v>
      </c>
      <c r="C38" s="23" t="s">
        <v>94</v>
      </c>
      <c r="D38" s="23">
        <v>129</v>
      </c>
      <c r="E38" s="23" t="s">
        <v>95</v>
      </c>
      <c r="F38" s="23">
        <v>1</v>
      </c>
      <c r="G38" s="23">
        <v>30</v>
      </c>
      <c r="H38" s="24" t="str">
        <f t="shared" si="10"/>
        <v>M0111-B-129-1</v>
      </c>
      <c r="I38" s="32">
        <f>VLOOKUP(H38,'Depth vlookup'!G37:I1084,2,FALSE)+G38/100</f>
        <v>316.13</v>
      </c>
      <c r="J38" s="24">
        <v>1</v>
      </c>
      <c r="K38" s="37">
        <v>41.86</v>
      </c>
      <c r="L38" s="45">
        <v>20.7</v>
      </c>
      <c r="M38" s="24">
        <f t="shared" si="8"/>
        <v>3483</v>
      </c>
      <c r="N38" s="40">
        <v>3.4830000000000001</v>
      </c>
      <c r="O38" s="47">
        <v>17.600000000000001</v>
      </c>
      <c r="P38" s="23">
        <v>6</v>
      </c>
      <c r="Q38" s="33">
        <f>K38*('Temperature Corrections'!$D$9+'Temperature Corrections'!$D$10*'Data Entry'!$L38+('Temperature Corrections'!$D$11*('Data Entry'!$L38^2))+('Temperature Corrections'!$D$12*('Data Entry'!$L38^3))+('Temperature Corrections'!$D$13*('Data Entry'!$L38^4))+('Temperature Corrections'!$D$14*('Data Entry'!$L38^5)))/'Temperature Corrections'!$G$6</f>
        <v>42.484335441036571</v>
      </c>
      <c r="R38" s="33">
        <f>N38*('Temperature Corrections'!$D$9+'Temperature Corrections'!$D$10*'Data Entry'!$O38+('Temperature Corrections'!$D$11*('Data Entry'!$O38^2))+('Temperature Corrections'!$D$12*('Data Entry'!$O38^3))+('Temperature Corrections'!$D$13*('Data Entry'!$O38^4))+('Temperature Corrections'!$D$14*('Data Entry'!$O38^5)))/'Temperature Corrections'!$G$6</f>
        <v>3.3065645612866956</v>
      </c>
      <c r="S38" s="33">
        <f>Q38*(34.9994*'Salinity Corrections'!$I$22+'Salinity Corrections'!$I$23)/'Salinity Corrections'!$K$23</f>
        <v>42.484335441036571</v>
      </c>
      <c r="T38" s="33">
        <f>R38*(P38*'Salinity Corrections'!$I$22+'Salinity Corrections'!$I$23)/'Salinity Corrections'!$K$23</f>
        <v>0.68908084229327948</v>
      </c>
      <c r="U38" s="34">
        <f t="shared" ref="U38:U39" si="11">S38/T38</f>
        <v>61.653630217969152</v>
      </c>
    </row>
    <row r="39" spans="1:21">
      <c r="A39" s="23">
        <v>501</v>
      </c>
      <c r="B39" s="23">
        <v>111</v>
      </c>
      <c r="C39" s="23" t="s">
        <v>94</v>
      </c>
      <c r="D39" s="23">
        <v>129</v>
      </c>
      <c r="E39" s="23" t="s">
        <v>95</v>
      </c>
      <c r="F39" s="23">
        <v>1</v>
      </c>
      <c r="G39" s="23">
        <v>33</v>
      </c>
      <c r="H39" s="24" t="str">
        <f t="shared" si="10"/>
        <v>M0111-B-129-1</v>
      </c>
      <c r="I39" s="32">
        <f>VLOOKUP(H39,'Depth vlookup'!G38:I1085,2,FALSE)+G39/100</f>
        <v>316.15999999999997</v>
      </c>
      <c r="J39" s="24">
        <v>1</v>
      </c>
      <c r="K39" s="37">
        <v>41.86</v>
      </c>
      <c r="L39" s="45">
        <v>20.7</v>
      </c>
      <c r="M39" s="24">
        <f t="shared" si="8"/>
        <v>3504</v>
      </c>
      <c r="N39" s="40">
        <v>3.504</v>
      </c>
      <c r="O39" s="47">
        <v>17.8</v>
      </c>
      <c r="P39" s="23">
        <v>6</v>
      </c>
      <c r="Q39" s="33">
        <f>K39*('Temperature Corrections'!$D$9+'Temperature Corrections'!$D$10*'Data Entry'!$L39+('Temperature Corrections'!$D$11*('Data Entry'!$L39^2))+('Temperature Corrections'!$D$12*('Data Entry'!$L39^3))+('Temperature Corrections'!$D$13*('Data Entry'!$L39^4))+('Temperature Corrections'!$D$14*('Data Entry'!$L39^5)))/'Temperature Corrections'!$G$6</f>
        <v>42.484335441036571</v>
      </c>
      <c r="R39" s="33">
        <f>N39*('Temperature Corrections'!$D$9+'Temperature Corrections'!$D$10*'Data Entry'!$O39+('Temperature Corrections'!$D$11*('Data Entry'!$O39^2))+('Temperature Corrections'!$D$12*('Data Entry'!$O39^3))+('Temperature Corrections'!$D$13*('Data Entry'!$O39^4))+('Temperature Corrections'!$D$14*('Data Entry'!$O39^5)))/'Temperature Corrections'!$G$6</f>
        <v>3.3411854706818835</v>
      </c>
      <c r="S39" s="33">
        <f>Q39*(34.9994*'Salinity Corrections'!$I$22+'Salinity Corrections'!$I$23)/'Salinity Corrections'!$K$23</f>
        <v>42.484335441036571</v>
      </c>
      <c r="T39" s="33">
        <f>R39*(P39*'Salinity Corrections'!$I$22+'Salinity Corrections'!$I$23)/'Salinity Corrections'!$K$23</f>
        <v>0.69629576429610651</v>
      </c>
      <c r="U39" s="34">
        <f t="shared" si="11"/>
        <v>61.01478368748154</v>
      </c>
    </row>
    <row r="40" spans="1:21">
      <c r="A40" s="23">
        <v>501</v>
      </c>
      <c r="B40" s="23">
        <v>111</v>
      </c>
      <c r="C40" s="23" t="s">
        <v>94</v>
      </c>
      <c r="D40" s="23">
        <v>155</v>
      </c>
      <c r="E40" s="23" t="s">
        <v>95</v>
      </c>
      <c r="F40" s="23">
        <v>1</v>
      </c>
      <c r="G40" s="23">
        <v>36</v>
      </c>
      <c r="H40" s="24" t="str">
        <f t="shared" si="10"/>
        <v>M0111-B-155-1</v>
      </c>
      <c r="I40" s="32">
        <f>VLOOKUP(H40,'Depth vlookup'!G39:I1086,2,FALSE)+G40/100</f>
        <v>355.91</v>
      </c>
      <c r="J40" s="24">
        <v>1</v>
      </c>
      <c r="K40" s="37">
        <v>42.62</v>
      </c>
      <c r="L40" s="45">
        <v>21.3</v>
      </c>
      <c r="M40" s="24">
        <f t="shared" si="8"/>
        <v>4675</v>
      </c>
      <c r="N40" s="40">
        <v>4.6749999999999998</v>
      </c>
      <c r="O40" s="47">
        <v>21.3</v>
      </c>
      <c r="P40" s="23">
        <v>25</v>
      </c>
      <c r="Q40" s="33">
        <f>K40*('Temperature Corrections'!$D$9+'Temperature Corrections'!$D$10*'Data Entry'!$L40+('Temperature Corrections'!$D$11*('Data Entry'!$L40^2))+('Temperature Corrections'!$D$12*('Data Entry'!$L40^3))+('Temperature Corrections'!$D$13*('Data Entry'!$L40^4))+('Temperature Corrections'!$D$14*('Data Entry'!$L40^5)))/'Temperature Corrections'!$G$6</f>
        <v>43.802477465745163</v>
      </c>
      <c r="R40" s="33">
        <f>N40*('Temperature Corrections'!$D$9+'Temperature Corrections'!$D$10*'Data Entry'!$O40+('Temperature Corrections'!$D$11*('Data Entry'!$O40^2))+('Temperature Corrections'!$D$12*('Data Entry'!$O40^3))+('Temperature Corrections'!$D$13*('Data Entry'!$O40^4))+('Temperature Corrections'!$D$14*('Data Entry'!$O40^5)))/'Temperature Corrections'!$G$6</f>
        <v>4.8047062917024546</v>
      </c>
      <c r="S40" s="33">
        <f>Q40*(34.9994*'Salinity Corrections'!$I$22+'Salinity Corrections'!$I$23)/'Salinity Corrections'!$K$23</f>
        <v>43.802477465745156</v>
      </c>
      <c r="T40" s="33">
        <f>R40*(P40*'Salinity Corrections'!$I$22+'Salinity Corrections'!$I$23)/'Salinity Corrections'!$K$23</f>
        <v>3.4932350972713442</v>
      </c>
      <c r="U40" s="34">
        <f t="shared" ref="U40:U41" si="12">S40/T40</f>
        <v>12.539229752947461</v>
      </c>
    </row>
    <row r="41" spans="1:21">
      <c r="A41" s="23">
        <v>501</v>
      </c>
      <c r="B41" s="23">
        <v>111</v>
      </c>
      <c r="C41" s="23" t="s">
        <v>94</v>
      </c>
      <c r="D41" s="23">
        <v>155</v>
      </c>
      <c r="E41" s="23" t="s">
        <v>95</v>
      </c>
      <c r="F41" s="23">
        <v>1</v>
      </c>
      <c r="G41" s="23">
        <v>37</v>
      </c>
      <c r="H41" s="24" t="str">
        <f t="shared" ref="H41:H42" si="13">CONCATENATE("M0",B41,"-",C41, "-",D41, "-",F41)</f>
        <v>M0111-B-155-1</v>
      </c>
      <c r="I41" s="32">
        <f>VLOOKUP(H41,'Depth vlookup'!G40:I1087,2,FALSE)+G41/100</f>
        <v>355.92</v>
      </c>
      <c r="J41" s="24">
        <v>1</v>
      </c>
      <c r="K41" s="37">
        <v>42.62</v>
      </c>
      <c r="L41" s="45">
        <v>21.3</v>
      </c>
      <c r="M41" s="24">
        <f t="shared" si="8"/>
        <v>4997</v>
      </c>
      <c r="N41" s="40">
        <v>4.9969999999999999</v>
      </c>
      <c r="O41" s="47">
        <v>21.2</v>
      </c>
      <c r="P41" s="23">
        <v>25</v>
      </c>
      <c r="Q41" s="33">
        <f>K41*('Temperature Corrections'!$D$9+'Temperature Corrections'!$D$10*'Data Entry'!$L41+('Temperature Corrections'!$D$11*('Data Entry'!$L41^2))+('Temperature Corrections'!$D$12*('Data Entry'!$L41^3))+('Temperature Corrections'!$D$13*('Data Entry'!$L41^4))+('Temperature Corrections'!$D$14*('Data Entry'!$L41^5)))/'Temperature Corrections'!$G$6</f>
        <v>43.802477465745163</v>
      </c>
      <c r="R41" s="33">
        <f>N41*('Temperature Corrections'!$D$9+'Temperature Corrections'!$D$10*'Data Entry'!$O41+('Temperature Corrections'!$D$11*('Data Entry'!$O41^2))+('Temperature Corrections'!$D$12*('Data Entry'!$O41^3))+('Temperature Corrections'!$D$13*('Data Entry'!$O41^4))+('Temperature Corrections'!$D$14*('Data Entry'!$O41^5)))/'Temperature Corrections'!$G$6</f>
        <v>5.1249408242533088</v>
      </c>
      <c r="S41" s="33">
        <f>Q41*(34.9994*'Salinity Corrections'!$I$22+'Salinity Corrections'!$I$23)/'Salinity Corrections'!$K$23</f>
        <v>43.802477465745156</v>
      </c>
      <c r="T41" s="33">
        <f>R41*(P41*'Salinity Corrections'!$I$22+'Salinity Corrections'!$I$23)/'Salinity Corrections'!$K$23</f>
        <v>3.7260598404604961</v>
      </c>
      <c r="U41" s="34">
        <f t="shared" si="12"/>
        <v>11.755709607801601</v>
      </c>
    </row>
    <row r="42" spans="1:21">
      <c r="A42" s="23">
        <v>501</v>
      </c>
      <c r="B42" s="23">
        <v>111</v>
      </c>
      <c r="C42" s="23" t="s">
        <v>94</v>
      </c>
      <c r="D42" s="23">
        <v>166</v>
      </c>
      <c r="E42" s="23" t="s">
        <v>95</v>
      </c>
      <c r="F42" s="23">
        <v>1</v>
      </c>
      <c r="G42" s="23">
        <v>40</v>
      </c>
      <c r="H42" s="24" t="str">
        <f t="shared" si="13"/>
        <v>M0111-B-166-1</v>
      </c>
      <c r="I42" s="32">
        <f>VLOOKUP(H42,'Depth vlookup'!G41:I1088,2,FALSE)+G42/100</f>
        <v>381.42999999999995</v>
      </c>
      <c r="J42" s="24">
        <v>1</v>
      </c>
      <c r="K42" s="37">
        <v>42.06</v>
      </c>
      <c r="L42" s="45">
        <v>21.3</v>
      </c>
      <c r="M42" s="24">
        <f t="shared" si="8"/>
        <v>7916</v>
      </c>
      <c r="N42" s="40">
        <v>7.9160000000000004</v>
      </c>
      <c r="O42" s="47">
        <v>20.8</v>
      </c>
      <c r="P42" s="23">
        <v>25</v>
      </c>
      <c r="Q42" s="33">
        <f>K42*('Temperature Corrections'!$D$9+'Temperature Corrections'!$D$10*'Data Entry'!$L42+('Temperature Corrections'!$D$11*('Data Entry'!$L42^2))+('Temperature Corrections'!$D$12*('Data Entry'!$L42^3))+('Temperature Corrections'!$D$13*('Data Entry'!$L42^4))+('Temperature Corrections'!$D$14*('Data Entry'!$L42^5)))/'Temperature Corrections'!$G$6</f>
        <v>43.226940455402193</v>
      </c>
      <c r="R42" s="33">
        <f>N42*('Temperature Corrections'!$D$9+'Temperature Corrections'!$D$10*'Data Entry'!$O42+('Temperature Corrections'!$D$11*('Data Entry'!$O42^2))+('Temperature Corrections'!$D$12*('Data Entry'!$O42^3))+('Temperature Corrections'!$D$13*('Data Entry'!$O42^4))+('Temperature Corrections'!$D$14*('Data Entry'!$O42^5)))/'Temperature Corrections'!$G$6</f>
        <v>8.0509700567728917</v>
      </c>
      <c r="S42" s="33">
        <f>Q42*(34.9994*'Salinity Corrections'!$I$22+'Salinity Corrections'!$I$23)/'Salinity Corrections'!$K$23</f>
        <v>43.2269404554022</v>
      </c>
      <c r="T42" s="33">
        <f>R42*(P42*'Salinity Corrections'!$I$22+'Salinity Corrections'!$I$23)/'Salinity Corrections'!$K$23</f>
        <v>5.8534131873926816</v>
      </c>
      <c r="U42" s="34">
        <f t="shared" ref="U42:U43" si="14">S42/T42</f>
        <v>7.384911857667273</v>
      </c>
    </row>
    <row r="43" spans="1:21">
      <c r="A43" s="23">
        <v>501</v>
      </c>
      <c r="B43" s="23">
        <v>111</v>
      </c>
      <c r="C43" s="23" t="s">
        <v>94</v>
      </c>
      <c r="D43" s="23">
        <v>166</v>
      </c>
      <c r="E43" s="23" t="s">
        <v>95</v>
      </c>
      <c r="F43" s="23">
        <v>1</v>
      </c>
      <c r="G43" s="23">
        <v>41</v>
      </c>
      <c r="H43" s="24" t="str">
        <f t="shared" ref="H43:H44" si="15">CONCATENATE("M0",B43,"-",C43, "-",D43, "-",F43)</f>
        <v>M0111-B-166-1</v>
      </c>
      <c r="I43" s="32">
        <f>VLOOKUP(H43,'Depth vlookup'!G42:I1089,2,FALSE)+G43/100</f>
        <v>381.44</v>
      </c>
      <c r="J43" s="24">
        <v>1</v>
      </c>
      <c r="K43" s="37">
        <v>42.06</v>
      </c>
      <c r="L43" s="45">
        <v>21.3</v>
      </c>
      <c r="M43" s="24">
        <f t="shared" si="8"/>
        <v>7298</v>
      </c>
      <c r="N43" s="40">
        <v>7.298</v>
      </c>
      <c r="O43" s="47">
        <v>20.6</v>
      </c>
      <c r="P43" s="23">
        <v>25</v>
      </c>
      <c r="Q43" s="33">
        <f>K43*('Temperature Corrections'!$D$9+'Temperature Corrections'!$D$10*'Data Entry'!$L43+('Temperature Corrections'!$D$11*('Data Entry'!$L43^2))+('Temperature Corrections'!$D$12*('Data Entry'!$L43^3))+('Temperature Corrections'!$D$13*('Data Entry'!$L43^4))+('Temperature Corrections'!$D$14*('Data Entry'!$L43^5)))/'Temperature Corrections'!$G$6</f>
        <v>43.226940455402193</v>
      </c>
      <c r="R43" s="33">
        <f>N43*('Temperature Corrections'!$D$9+'Temperature Corrections'!$D$10*'Data Entry'!$O43+('Temperature Corrections'!$D$11*('Data Entry'!$O43^2))+('Temperature Corrections'!$D$12*('Data Entry'!$O43^3))+('Temperature Corrections'!$D$13*('Data Entry'!$O43^4))+('Temperature Corrections'!$D$14*('Data Entry'!$O43^5)))/'Temperature Corrections'!$G$6</f>
        <v>7.3912726275451126</v>
      </c>
      <c r="S43" s="33">
        <f>Q43*(34.9994*'Salinity Corrections'!$I$22+'Salinity Corrections'!$I$23)/'Salinity Corrections'!$K$23</f>
        <v>43.2269404554022</v>
      </c>
      <c r="T43" s="33">
        <f>R43*(P43*'Salinity Corrections'!$I$22+'Salinity Corrections'!$I$23)/'Salinity Corrections'!$K$23</f>
        <v>5.373783825377795</v>
      </c>
      <c r="U43" s="34">
        <f t="shared" si="14"/>
        <v>8.0440415655096071</v>
      </c>
    </row>
    <row r="44" spans="1:21">
      <c r="A44" s="23">
        <v>501</v>
      </c>
      <c r="B44" s="23">
        <v>111</v>
      </c>
      <c r="C44" s="41" t="s">
        <v>102</v>
      </c>
      <c r="D44" s="23">
        <v>2</v>
      </c>
      <c r="E44" s="41" t="s">
        <v>93</v>
      </c>
      <c r="F44" s="23">
        <v>1</v>
      </c>
      <c r="G44" s="23">
        <v>14</v>
      </c>
      <c r="H44" s="24" t="str">
        <f t="shared" si="15"/>
        <v>M0111-C-2-1</v>
      </c>
      <c r="I44" s="32">
        <f>VLOOKUP(H44,'Depth vlookup'!G43:I1090,2,FALSE)+G44/100</f>
        <v>47.81</v>
      </c>
      <c r="J44" s="24">
        <v>1</v>
      </c>
      <c r="K44" s="37">
        <v>41.41</v>
      </c>
      <c r="L44" s="45">
        <v>21.3</v>
      </c>
      <c r="M44" s="24">
        <f t="shared" si="8"/>
        <v>11690</v>
      </c>
      <c r="N44" s="40">
        <v>11.69</v>
      </c>
      <c r="O44" s="47">
        <v>19.899999999999999</v>
      </c>
      <c r="P44" s="23">
        <v>32</v>
      </c>
      <c r="Q44" s="33">
        <f>K44*('Temperature Corrections'!$D$9+'Temperature Corrections'!$D$10*'Data Entry'!$L44+('Temperature Corrections'!$D$11*('Data Entry'!$L44^2))+('Temperature Corrections'!$D$12*('Data Entry'!$L44^3))+('Temperature Corrections'!$D$13*('Data Entry'!$L44^4))+('Temperature Corrections'!$D$14*('Data Entry'!$L44^5)))/'Temperature Corrections'!$G$6</f>
        <v>42.558906425539817</v>
      </c>
      <c r="R44" s="33">
        <f>N44*('Temperature Corrections'!$D$9+'Temperature Corrections'!$D$10*'Data Entry'!$O44+('Temperature Corrections'!$D$11*('Data Entry'!$O44^2))+('Temperature Corrections'!$D$12*('Data Entry'!$O44^3))+('Temperature Corrections'!$D$13*('Data Entry'!$O44^4))+('Temperature Corrections'!$D$14*('Data Entry'!$O44^5)))/'Temperature Corrections'!$G$6</f>
        <v>11.66514906446827</v>
      </c>
      <c r="S44" s="33">
        <f>Q44*(34.9994*'Salinity Corrections'!$I$22+'Salinity Corrections'!$I$23)/'Salinity Corrections'!$K$23</f>
        <v>42.558906425539817</v>
      </c>
      <c r="T44" s="33">
        <f>R44*(P44*'Salinity Corrections'!$I$22+'Salinity Corrections'!$I$23)/'Salinity Corrections'!$K$23</f>
        <v>10.710062689029289</v>
      </c>
      <c r="U44" s="34">
        <f t="shared" ref="U44:U45" si="16">S44/T44</f>
        <v>3.9737308418497372</v>
      </c>
    </row>
    <row r="45" spans="1:21">
      <c r="A45" s="23">
        <v>501</v>
      </c>
      <c r="B45" s="23">
        <v>111</v>
      </c>
      <c r="C45" s="41" t="s">
        <v>102</v>
      </c>
      <c r="D45" s="23">
        <v>2</v>
      </c>
      <c r="E45" s="41" t="s">
        <v>93</v>
      </c>
      <c r="F45" s="23">
        <v>1</v>
      </c>
      <c r="G45" s="23">
        <v>14</v>
      </c>
      <c r="H45" s="24" t="str">
        <f t="shared" ref="H45:H46" si="17">CONCATENATE("M0",B45,"-",C45, "-",D45, "-",F45)</f>
        <v>M0111-C-2-1</v>
      </c>
      <c r="I45" s="32">
        <f>VLOOKUP(H45,'Depth vlookup'!G44:I1091,2,FALSE)+G45/100</f>
        <v>47.81</v>
      </c>
      <c r="J45" s="24">
        <v>1</v>
      </c>
      <c r="K45" s="37">
        <v>41.41</v>
      </c>
      <c r="L45" s="45">
        <v>21.3</v>
      </c>
      <c r="M45" s="24">
        <f t="shared" si="8"/>
        <v>11300</v>
      </c>
      <c r="N45" s="42">
        <v>11.3</v>
      </c>
      <c r="O45" s="47">
        <v>20</v>
      </c>
      <c r="P45" s="23">
        <v>32</v>
      </c>
      <c r="Q45" s="33">
        <f>K45*('Temperature Corrections'!$D$9+'Temperature Corrections'!$D$10*'Data Entry'!$L45+('Temperature Corrections'!$D$11*('Data Entry'!$L45^2))+('Temperature Corrections'!$D$12*('Data Entry'!$L45^3))+('Temperature Corrections'!$D$13*('Data Entry'!$L45^4))+('Temperature Corrections'!$D$14*('Data Entry'!$L45^5)))/'Temperature Corrections'!$G$6</f>
        <v>42.558906425539817</v>
      </c>
      <c r="R45" s="33">
        <f>N45*('Temperature Corrections'!$D$9+'Temperature Corrections'!$D$10*'Data Entry'!$O45+('Temperature Corrections'!$D$11*('Data Entry'!$O45^2))+('Temperature Corrections'!$D$12*('Data Entry'!$O45^3))+('Temperature Corrections'!$D$13*('Data Entry'!$O45^4))+('Temperature Corrections'!$D$14*('Data Entry'!$O45^5)))/'Temperature Corrections'!$G$6</f>
        <v>11.3</v>
      </c>
      <c r="S45" s="33">
        <f>Q45*(34.9994*'Salinity Corrections'!$I$22+'Salinity Corrections'!$I$23)/'Salinity Corrections'!$K$23</f>
        <v>42.558906425539817</v>
      </c>
      <c r="T45" s="33">
        <f>R45*(P45*'Salinity Corrections'!$I$22+'Salinity Corrections'!$I$23)/'Salinity Corrections'!$K$23</f>
        <v>10.374810276078334</v>
      </c>
      <c r="U45" s="34">
        <f t="shared" si="16"/>
        <v>4.1021382842701035</v>
      </c>
    </row>
    <row r="46" spans="1:21">
      <c r="A46" s="23">
        <v>501</v>
      </c>
      <c r="B46" s="23">
        <v>111</v>
      </c>
      <c r="C46" s="41" t="s">
        <v>102</v>
      </c>
      <c r="D46" s="23">
        <v>5</v>
      </c>
      <c r="E46" s="41" t="s">
        <v>93</v>
      </c>
      <c r="F46" s="23">
        <v>1</v>
      </c>
      <c r="G46" s="23">
        <v>37</v>
      </c>
      <c r="H46" s="24" t="str">
        <f t="shared" si="17"/>
        <v>M0111-C-5-1</v>
      </c>
      <c r="I46" s="32">
        <f>VLOOKUP(H46,'Depth vlookup'!G45:I1092,2,FALSE)+G46/100</f>
        <v>110.37</v>
      </c>
      <c r="J46" s="24">
        <v>1</v>
      </c>
      <c r="K46" s="37">
        <v>41.7</v>
      </c>
      <c r="L46" s="45">
        <v>21.3</v>
      </c>
      <c r="M46" s="24">
        <f t="shared" ref="M46:M67" si="18">N46*1000</f>
        <v>3537</v>
      </c>
      <c r="N46" s="40">
        <v>3.5369999999999999</v>
      </c>
      <c r="O46" s="47">
        <v>19.100000000000001</v>
      </c>
      <c r="P46" s="23">
        <v>12</v>
      </c>
      <c r="Q46" s="33">
        <f>K46*('Temperature Corrections'!$D$9+'Temperature Corrections'!$D$10*'Data Entry'!$L46+('Temperature Corrections'!$D$11*('Data Entry'!$L46^2))+('Temperature Corrections'!$D$12*('Data Entry'!$L46^3))+('Temperature Corrections'!$D$13*('Data Entry'!$L46^4))+('Temperature Corrections'!$D$14*('Data Entry'!$L46^5)))/'Temperature Corrections'!$G$6</f>
        <v>42.856952377324575</v>
      </c>
      <c r="R46" s="33">
        <f>N46*('Temperature Corrections'!$D$9+'Temperature Corrections'!$D$10*'Data Entry'!$O46+('Temperature Corrections'!$D$11*('Data Entry'!$O46^2))+('Temperature Corrections'!$D$12*('Data Entry'!$O46^3))+('Temperature Corrections'!$D$13*('Data Entry'!$O46^4))+('Temperature Corrections'!$D$14*('Data Entry'!$O46^5)))/'Temperature Corrections'!$G$6</f>
        <v>3.4694900005108376</v>
      </c>
      <c r="S46" s="33">
        <f>Q46*(34.9994*'Salinity Corrections'!$I$22+'Salinity Corrections'!$I$23)/'Salinity Corrections'!$K$23</f>
        <v>42.856952377324582</v>
      </c>
      <c r="T46" s="33">
        <f>R46*(P46*'Salinity Corrections'!$I$22+'Salinity Corrections'!$I$23)/'Salinity Corrections'!$K$23</f>
        <v>1.2912781504800785</v>
      </c>
      <c r="U46" s="34">
        <f t="shared" ref="U46:U47" si="19">S46/T46</f>
        <v>33.189559012820737</v>
      </c>
    </row>
    <row r="47" spans="1:21">
      <c r="A47" s="23">
        <v>501</v>
      </c>
      <c r="B47" s="23">
        <v>111</v>
      </c>
      <c r="C47" s="41" t="s">
        <v>102</v>
      </c>
      <c r="D47" s="23">
        <v>5</v>
      </c>
      <c r="E47" s="41" t="s">
        <v>93</v>
      </c>
      <c r="F47" s="23">
        <v>1</v>
      </c>
      <c r="G47" s="23">
        <v>37</v>
      </c>
      <c r="H47" s="24" t="str">
        <f t="shared" ref="H47:H48" si="20">CONCATENATE("M0",B47,"-",C47, "-",D47, "-",F47)</f>
        <v>M0111-C-5-1</v>
      </c>
      <c r="I47" s="32">
        <f>VLOOKUP(H47,'Depth vlookup'!G46:I1093,2,FALSE)+G47/100</f>
        <v>110.37</v>
      </c>
      <c r="J47" s="24">
        <v>1</v>
      </c>
      <c r="K47" s="37">
        <v>41.7</v>
      </c>
      <c r="L47" s="45">
        <v>21.3</v>
      </c>
      <c r="M47" s="24">
        <f t="shared" si="18"/>
        <v>3698</v>
      </c>
      <c r="N47" s="40">
        <v>3.698</v>
      </c>
      <c r="O47" s="47">
        <v>19.2</v>
      </c>
      <c r="P47" s="23">
        <v>12</v>
      </c>
      <c r="Q47" s="33">
        <f>K47*('Temperature Corrections'!$D$9+'Temperature Corrections'!$D$10*'Data Entry'!$L47+('Temperature Corrections'!$D$11*('Data Entry'!$L47^2))+('Temperature Corrections'!$D$12*('Data Entry'!$L47^3))+('Temperature Corrections'!$D$13*('Data Entry'!$L47^4))+('Temperature Corrections'!$D$14*('Data Entry'!$L47^5)))/'Temperature Corrections'!$G$6</f>
        <v>42.856952377324575</v>
      </c>
      <c r="R47" s="33">
        <f>N47*('Temperature Corrections'!$D$9+'Temperature Corrections'!$D$10*'Data Entry'!$O47+('Temperature Corrections'!$D$11*('Data Entry'!$O47^2))+('Temperature Corrections'!$D$12*('Data Entry'!$O47^3))+('Temperature Corrections'!$D$13*('Data Entry'!$O47^4))+('Temperature Corrections'!$D$14*('Data Entry'!$O47^5)))/'Temperature Corrections'!$G$6</f>
        <v>3.635240476166091</v>
      </c>
      <c r="S47" s="33">
        <f>Q47*(34.9994*'Salinity Corrections'!$I$22+'Salinity Corrections'!$I$23)/'Salinity Corrections'!$K$23</f>
        <v>42.856952377324582</v>
      </c>
      <c r="T47" s="33">
        <f>R47*(P47*'Salinity Corrections'!$I$22+'Salinity Corrections'!$I$23)/'Salinity Corrections'!$K$23</f>
        <v>1.3529673231290258</v>
      </c>
      <c r="U47" s="34">
        <f t="shared" si="19"/>
        <v>31.676265675218769</v>
      </c>
    </row>
    <row r="48" spans="1:21">
      <c r="A48" s="23">
        <v>501</v>
      </c>
      <c r="B48" s="23">
        <v>111</v>
      </c>
      <c r="C48" s="41" t="s">
        <v>102</v>
      </c>
      <c r="D48" s="23">
        <v>8</v>
      </c>
      <c r="E48" s="41" t="s">
        <v>95</v>
      </c>
      <c r="F48" s="23">
        <v>1</v>
      </c>
      <c r="G48" s="23">
        <v>39</v>
      </c>
      <c r="H48" s="24" t="str">
        <f t="shared" si="20"/>
        <v>M0111-C-8-1</v>
      </c>
      <c r="I48" s="32">
        <f>VLOOKUP(H48,'Depth vlookup'!G47:I1094,2,FALSE)+G48/100</f>
        <v>125.39</v>
      </c>
      <c r="J48" s="24">
        <v>1</v>
      </c>
      <c r="K48" s="37">
        <v>41.02</v>
      </c>
      <c r="L48" s="45">
        <v>21.3</v>
      </c>
      <c r="M48" s="24">
        <f t="shared" si="18"/>
        <v>3989</v>
      </c>
      <c r="N48" s="40">
        <v>3.9889999999999999</v>
      </c>
      <c r="O48" s="47">
        <v>19.8</v>
      </c>
      <c r="P48" s="23">
        <v>12</v>
      </c>
      <c r="Q48" s="33">
        <f>K48*('Temperature Corrections'!$D$9+'Temperature Corrections'!$D$10*'Data Entry'!$L48+('Temperature Corrections'!$D$11*('Data Entry'!$L48^2))+('Temperature Corrections'!$D$12*('Data Entry'!$L48^3))+('Temperature Corrections'!$D$13*('Data Entry'!$L48^4))+('Temperature Corrections'!$D$14*('Data Entry'!$L48^5)))/'Temperature Corrections'!$G$6</f>
        <v>42.158086007622401</v>
      </c>
      <c r="R48" s="33">
        <f>N48*('Temperature Corrections'!$D$9+'Temperature Corrections'!$D$10*'Data Entry'!$O48+('Temperature Corrections'!$D$11*('Data Entry'!$O48^2))+('Temperature Corrections'!$D$12*('Data Entry'!$O48^3))+('Temperature Corrections'!$D$13*('Data Entry'!$O48^4))+('Temperature Corrections'!$D$14*('Data Entry'!$O48^5)))/'Temperature Corrections'!$G$6</f>
        <v>3.9720451074736611</v>
      </c>
      <c r="S48" s="33">
        <f>Q48*(34.9994*'Salinity Corrections'!$I$22+'Salinity Corrections'!$I$23)/'Salinity Corrections'!$K$23</f>
        <v>42.158086007622401</v>
      </c>
      <c r="T48" s="33">
        <f>R48*(P48*'Salinity Corrections'!$I$22+'Salinity Corrections'!$I$23)/'Salinity Corrections'!$K$23</f>
        <v>1.478319597187729</v>
      </c>
      <c r="U48" s="34">
        <f t="shared" ref="U48:U49" si="21">S48/T48</f>
        <v>28.517572308330042</v>
      </c>
    </row>
    <row r="49" spans="1:21">
      <c r="A49" s="23">
        <v>501</v>
      </c>
      <c r="B49" s="23">
        <v>111</v>
      </c>
      <c r="C49" s="41" t="s">
        <v>102</v>
      </c>
      <c r="D49" s="23">
        <v>8</v>
      </c>
      <c r="E49" s="41" t="s">
        <v>95</v>
      </c>
      <c r="F49" s="23">
        <v>1</v>
      </c>
      <c r="G49" s="23">
        <v>39</v>
      </c>
      <c r="H49" s="24" t="str">
        <f t="shared" ref="H49:H51" si="22">CONCATENATE("M0",B49,"-",C49, "-",D49, "-",F49)</f>
        <v>M0111-C-8-1</v>
      </c>
      <c r="I49" s="32">
        <f>VLOOKUP(H49,'Depth vlookup'!G48:I1095,2,FALSE)+G49/100</f>
        <v>125.39</v>
      </c>
      <c r="J49" s="24">
        <v>1</v>
      </c>
      <c r="K49" s="37">
        <v>41.02</v>
      </c>
      <c r="L49" s="45">
        <v>21.3</v>
      </c>
      <c r="M49" s="24">
        <f t="shared" si="18"/>
        <v>4179</v>
      </c>
      <c r="N49" s="40">
        <v>4.1790000000000003</v>
      </c>
      <c r="O49" s="47">
        <v>19.8</v>
      </c>
      <c r="P49" s="23">
        <v>12</v>
      </c>
      <c r="Q49" s="33">
        <f>K49*('Temperature Corrections'!$D$9+'Temperature Corrections'!$D$10*'Data Entry'!$L49+('Temperature Corrections'!$D$11*('Data Entry'!$L49^2))+('Temperature Corrections'!$D$12*('Data Entry'!$L49^3))+('Temperature Corrections'!$D$13*('Data Entry'!$L49^4))+('Temperature Corrections'!$D$14*('Data Entry'!$L49^5)))/'Temperature Corrections'!$G$6</f>
        <v>42.158086007622401</v>
      </c>
      <c r="R49" s="33">
        <f>N49*('Temperature Corrections'!$D$9+'Temperature Corrections'!$D$10*'Data Entry'!$O49+('Temperature Corrections'!$D$11*('Data Entry'!$O49^2))+('Temperature Corrections'!$D$12*('Data Entry'!$O49^3))+('Temperature Corrections'!$D$13*('Data Entry'!$O49^4))+('Temperature Corrections'!$D$14*('Data Entry'!$O49^5)))/'Temperature Corrections'!$G$6</f>
        <v>4.1612375292385133</v>
      </c>
      <c r="S49" s="33">
        <f>Q49*(34.9994*'Salinity Corrections'!$I$22+'Salinity Corrections'!$I$23)/'Salinity Corrections'!$K$23</f>
        <v>42.158086007622401</v>
      </c>
      <c r="T49" s="33">
        <f>R49*(P49*'Salinity Corrections'!$I$22+'Salinity Corrections'!$I$23)/'Salinity Corrections'!$K$23</f>
        <v>1.5487334160560338</v>
      </c>
      <c r="U49" s="34">
        <f t="shared" si="21"/>
        <v>27.221008838939589</v>
      </c>
    </row>
    <row r="50" spans="1:21">
      <c r="A50" s="23">
        <v>501</v>
      </c>
      <c r="B50" s="23">
        <v>111</v>
      </c>
      <c r="C50" s="41" t="s">
        <v>102</v>
      </c>
      <c r="D50" s="23">
        <v>11</v>
      </c>
      <c r="E50" s="41" t="s">
        <v>95</v>
      </c>
      <c r="F50" s="23">
        <v>1</v>
      </c>
      <c r="G50" s="23">
        <v>31</v>
      </c>
      <c r="H50" s="24" t="str">
        <f t="shared" si="22"/>
        <v>M0111-C-11-1</v>
      </c>
      <c r="I50" s="32">
        <f>VLOOKUP(H50,'Depth vlookup'!G49:I1096,2,FALSE)+G50/100</f>
        <v>153.31</v>
      </c>
      <c r="J50" s="24">
        <v>1</v>
      </c>
      <c r="K50" s="37">
        <v>40.380000000000003</v>
      </c>
      <c r="L50" s="45">
        <v>20.399999999999999</v>
      </c>
      <c r="M50" s="24">
        <f t="shared" si="18"/>
        <v>3365</v>
      </c>
      <c r="N50" s="40">
        <v>3.3650000000000002</v>
      </c>
      <c r="O50" s="47">
        <v>9</v>
      </c>
      <c r="P50" s="23">
        <v>6</v>
      </c>
      <c r="Q50" s="33">
        <f>K50*('Temperature Corrections'!$D$9+'Temperature Corrections'!$D$10*'Data Entry'!$L50+('Temperature Corrections'!$D$11*('Data Entry'!$L50^2))+('Temperature Corrections'!$D$12*('Data Entry'!$L50^3))+('Temperature Corrections'!$D$13*('Data Entry'!$L50^4))+('Temperature Corrections'!$D$14*('Data Entry'!$L50^5)))/'Temperature Corrections'!$G$6</f>
        <v>40.723858752223485</v>
      </c>
      <c r="R50" s="33">
        <f>N50*('Temperature Corrections'!$D$9+'Temperature Corrections'!$D$10*'Data Entry'!$O50+('Temperature Corrections'!$D$11*('Data Entry'!$O50^2))+('Temperature Corrections'!$D$12*('Data Entry'!$O50^3))+('Temperature Corrections'!$D$13*('Data Entry'!$O50^4))+('Temperature Corrections'!$D$14*('Data Entry'!$O50^5)))/'Temperature Corrections'!$G$6</f>
        <v>2.6095931340158436</v>
      </c>
      <c r="S50" s="33">
        <f>Q50*(34.9994*'Salinity Corrections'!$I$22+'Salinity Corrections'!$I$23)/'Salinity Corrections'!$K$23</f>
        <v>40.723858752223485</v>
      </c>
      <c r="T50" s="33">
        <f>R50*(P50*'Salinity Corrections'!$I$22+'Salinity Corrections'!$I$23)/'Salinity Corrections'!$K$23</f>
        <v>0.54383351708416316</v>
      </c>
      <c r="U50" s="34">
        <f t="shared" ref="U50:U51" si="23">S50/T50</f>
        <v>74.882951257895897</v>
      </c>
    </row>
    <row r="51" spans="1:21">
      <c r="A51" s="23">
        <v>501</v>
      </c>
      <c r="B51" s="23">
        <v>111</v>
      </c>
      <c r="C51" s="41" t="s">
        <v>102</v>
      </c>
      <c r="D51" s="23">
        <v>11</v>
      </c>
      <c r="E51" s="41" t="s">
        <v>95</v>
      </c>
      <c r="F51" s="23">
        <v>1</v>
      </c>
      <c r="G51" s="23">
        <v>33</v>
      </c>
      <c r="H51" s="24" t="str">
        <f t="shared" si="22"/>
        <v>M0111-C-11-1</v>
      </c>
      <c r="I51" s="32">
        <f>VLOOKUP(H51,'Depth vlookup'!G50:I1097,2,FALSE)+G51/100</f>
        <v>153.33000000000001</v>
      </c>
      <c r="J51" s="24">
        <v>1</v>
      </c>
      <c r="K51" s="37">
        <v>40.380000000000003</v>
      </c>
      <c r="L51" s="45">
        <v>20.399999999999999</v>
      </c>
      <c r="M51" s="24">
        <f t="shared" si="18"/>
        <v>3340</v>
      </c>
      <c r="N51" s="40">
        <v>3.34</v>
      </c>
      <c r="O51" s="47">
        <v>9.6999999999999993</v>
      </c>
      <c r="P51" s="23">
        <v>6</v>
      </c>
      <c r="Q51" s="33">
        <f>K51*('Temperature Corrections'!$D$9+'Temperature Corrections'!$D$10*'Data Entry'!$L51+('Temperature Corrections'!$D$11*('Data Entry'!$L51^2))+('Temperature Corrections'!$D$12*('Data Entry'!$L51^3))+('Temperature Corrections'!$D$13*('Data Entry'!$L51^4))+('Temperature Corrections'!$D$14*('Data Entry'!$L51^5)))/'Temperature Corrections'!$G$6</f>
        <v>40.723858752223485</v>
      </c>
      <c r="R51" s="33">
        <f>N51*('Temperature Corrections'!$D$9+'Temperature Corrections'!$D$10*'Data Entry'!$O51+('Temperature Corrections'!$D$11*('Data Entry'!$O51^2))+('Temperature Corrections'!$D$12*('Data Entry'!$O51^3))+('Temperature Corrections'!$D$13*('Data Entry'!$O51^4))+('Temperature Corrections'!$D$14*('Data Entry'!$O51^5)))/'Temperature Corrections'!$G$6</f>
        <v>2.6357847845554137</v>
      </c>
      <c r="S51" s="33">
        <f>Q51*(34.9994*'Salinity Corrections'!$I$22+'Salinity Corrections'!$I$23)/'Salinity Corrections'!$K$23</f>
        <v>40.723858752223485</v>
      </c>
      <c r="T51" s="33">
        <f>R51*(P51*'Salinity Corrections'!$I$22+'Salinity Corrections'!$I$23)/'Salinity Corrections'!$K$23</f>
        <v>0.54929179992737942</v>
      </c>
      <c r="U51" s="34">
        <f t="shared" si="23"/>
        <v>74.138843430044815</v>
      </c>
    </row>
    <row r="52" spans="1:21">
      <c r="A52" s="44" t="s">
        <v>126</v>
      </c>
      <c r="H52" s="24" t="str">
        <f t="shared" ref="H52:H54" si="24">CONCATENATE("M0",B52,"-",C52, "-",D52, "-",F52)</f>
        <v>M0---</v>
      </c>
      <c r="I52" s="32"/>
      <c r="J52" s="24">
        <v>1</v>
      </c>
      <c r="M52" s="24">
        <f t="shared" si="18"/>
        <v>44040</v>
      </c>
      <c r="N52" s="40">
        <v>44.04</v>
      </c>
      <c r="O52" s="47">
        <v>20.6</v>
      </c>
    </row>
    <row r="53" spans="1:21">
      <c r="A53" s="44" t="s">
        <v>127</v>
      </c>
      <c r="H53" s="24" t="str">
        <f t="shared" si="24"/>
        <v>M0---</v>
      </c>
      <c r="I53" s="32"/>
      <c r="J53" s="24">
        <v>2</v>
      </c>
      <c r="M53" s="24">
        <f t="shared" si="18"/>
        <v>50090</v>
      </c>
      <c r="N53" s="40">
        <v>50.09</v>
      </c>
      <c r="O53" s="47">
        <v>20.6</v>
      </c>
    </row>
    <row r="54" spans="1:21">
      <c r="A54" s="23">
        <v>501</v>
      </c>
      <c r="B54" s="23">
        <v>111</v>
      </c>
      <c r="C54" s="41" t="s">
        <v>102</v>
      </c>
      <c r="D54" s="23">
        <v>20</v>
      </c>
      <c r="E54" s="41" t="s">
        <v>95</v>
      </c>
      <c r="F54" s="23">
        <v>1</v>
      </c>
      <c r="G54" s="23">
        <v>61</v>
      </c>
      <c r="H54" s="24" t="str">
        <f t="shared" si="24"/>
        <v>M0111-C-20-1</v>
      </c>
      <c r="I54" s="32">
        <f>VLOOKUP(H54,'Depth vlookup'!G53:I1100,2,FALSE)+G54/100</f>
        <v>171.97000000000003</v>
      </c>
      <c r="J54" s="24">
        <v>2</v>
      </c>
      <c r="K54" s="37">
        <v>45.26</v>
      </c>
      <c r="L54" s="45">
        <v>20.6</v>
      </c>
      <c r="M54" s="24">
        <f t="shared" si="18"/>
        <v>5114</v>
      </c>
      <c r="N54" s="40">
        <v>5.1139999999999999</v>
      </c>
      <c r="O54" s="47">
        <v>20.100000000000001</v>
      </c>
      <c r="P54" s="23">
        <v>6</v>
      </c>
      <c r="Q54" s="33">
        <f>K54*('Temperature Corrections'!$D$9+'Temperature Corrections'!$D$10*'Data Entry'!$L54+('Temperature Corrections'!$D$11*('Data Entry'!$L54^2))+('Temperature Corrections'!$D$12*('Data Entry'!$L54^3))+('Temperature Corrections'!$D$13*('Data Entry'!$L54^4))+('Temperature Corrections'!$D$14*('Data Entry'!$L54^5)))/'Temperature Corrections'!$G$6</f>
        <v>45.838448769894732</v>
      </c>
      <c r="R54" s="33">
        <f>N54*('Temperature Corrections'!$D$9+'Temperature Corrections'!$D$10*'Data Entry'!$O54+('Temperature Corrections'!$D$11*('Data Entry'!$O54^2))+('Temperature Corrections'!$D$12*('Data Entry'!$O54^3))+('Temperature Corrections'!$D$13*('Data Entry'!$O54^4))+('Temperature Corrections'!$D$14*('Data Entry'!$O54^5)))/'Temperature Corrections'!$G$6</f>
        <v>5.124877805295398</v>
      </c>
      <c r="S54" s="33">
        <f>Q54*(34.9994*'Salinity Corrections'!$I$22+'Salinity Corrections'!$I$23)/'Salinity Corrections'!$K$23</f>
        <v>45.838448769894732</v>
      </c>
      <c r="T54" s="33">
        <f>R54*(P54*'Salinity Corrections'!$I$22+'Salinity Corrections'!$I$23)/'Salinity Corrections'!$K$23</f>
        <v>1.0680133562397096</v>
      </c>
      <c r="U54" s="34">
        <f t="shared" ref="U54:U55" si="25">S54/T54</f>
        <v>42.919359109219371</v>
      </c>
    </row>
    <row r="55" spans="1:21">
      <c r="A55" s="23">
        <v>501</v>
      </c>
      <c r="B55" s="23">
        <v>111</v>
      </c>
      <c r="C55" s="41" t="s">
        <v>102</v>
      </c>
      <c r="D55" s="23">
        <v>20</v>
      </c>
      <c r="E55" s="41" t="s">
        <v>95</v>
      </c>
      <c r="F55" s="23">
        <v>1</v>
      </c>
      <c r="G55" s="23">
        <v>62</v>
      </c>
      <c r="H55" s="24" t="str">
        <f t="shared" ref="H55:H56" si="26">CONCATENATE("M0",B55,"-",C55, "-",D55, "-",F55)</f>
        <v>M0111-C-20-1</v>
      </c>
      <c r="I55" s="32">
        <f>VLOOKUP(H55,'Depth vlookup'!G54:I1101,2,FALSE)+G55/100</f>
        <v>171.98000000000002</v>
      </c>
      <c r="J55" s="24">
        <v>2</v>
      </c>
      <c r="K55" s="37">
        <v>45.26</v>
      </c>
      <c r="L55" s="45">
        <v>20.6</v>
      </c>
      <c r="M55" s="24">
        <f t="shared" si="18"/>
        <v>4512</v>
      </c>
      <c r="N55" s="40">
        <v>4.5119999999999996</v>
      </c>
      <c r="O55" s="47">
        <v>20.100000000000001</v>
      </c>
      <c r="P55" s="23">
        <v>6</v>
      </c>
      <c r="Q55" s="33">
        <f>K55*('Temperature Corrections'!$D$9+'Temperature Corrections'!$D$10*'Data Entry'!$L55+('Temperature Corrections'!$D$11*('Data Entry'!$L55^2))+('Temperature Corrections'!$D$12*('Data Entry'!$L55^3))+('Temperature Corrections'!$D$13*('Data Entry'!$L55^4))+('Temperature Corrections'!$D$14*('Data Entry'!$L55^5)))/'Temperature Corrections'!$G$6</f>
        <v>45.838448769894732</v>
      </c>
      <c r="R55" s="33">
        <f>N55*('Temperature Corrections'!$D$9+'Temperature Corrections'!$D$10*'Data Entry'!$O55+('Temperature Corrections'!$D$11*('Data Entry'!$O55^2))+('Temperature Corrections'!$D$12*('Data Entry'!$O55^3))+('Temperature Corrections'!$D$13*('Data Entry'!$O55^4))+('Temperature Corrections'!$D$14*('Data Entry'!$O55^5)))/'Temperature Corrections'!$G$6</f>
        <v>4.5215973127674687</v>
      </c>
      <c r="S55" s="33">
        <f>Q55*(34.9994*'Salinity Corrections'!$I$22+'Salinity Corrections'!$I$23)/'Salinity Corrections'!$K$23</f>
        <v>45.838448769894732</v>
      </c>
      <c r="T55" s="33">
        <f>R55*(P55*'Salinity Corrections'!$I$22+'Salinity Corrections'!$I$23)/'Salinity Corrections'!$K$23</f>
        <v>0.94229101747234434</v>
      </c>
      <c r="U55" s="34">
        <f t="shared" si="25"/>
        <v>48.645745231504407</v>
      </c>
    </row>
    <row r="56" spans="1:21">
      <c r="A56" s="23">
        <v>501</v>
      </c>
      <c r="B56" s="23">
        <v>111</v>
      </c>
      <c r="C56" s="41" t="s">
        <v>102</v>
      </c>
      <c r="D56" s="23">
        <v>21</v>
      </c>
      <c r="E56" s="41" t="s">
        <v>95</v>
      </c>
      <c r="F56" s="23">
        <v>2</v>
      </c>
      <c r="G56" s="23">
        <v>147.5</v>
      </c>
      <c r="H56" s="24" t="str">
        <f t="shared" si="26"/>
        <v>M0111-C-21-2</v>
      </c>
      <c r="I56" s="32">
        <f>VLOOKUP(H56,'Depth vlookup'!G55:I1102,2,FALSE)+G56/100</f>
        <v>180.35499999999999</v>
      </c>
      <c r="J56" s="24">
        <v>2</v>
      </c>
      <c r="K56" s="37">
        <v>45.25</v>
      </c>
      <c r="L56" s="45">
        <v>20.7</v>
      </c>
      <c r="M56" s="24">
        <f t="shared" si="18"/>
        <v>4442</v>
      </c>
      <c r="N56" s="40">
        <v>4.4420000000000002</v>
      </c>
      <c r="O56" s="47">
        <v>20</v>
      </c>
      <c r="P56" s="23">
        <v>6</v>
      </c>
      <c r="Q56" s="33">
        <f>K56*('Temperature Corrections'!$D$9+'Temperature Corrections'!$D$10*'Data Entry'!$L56+('Temperature Corrections'!$D$11*('Data Entry'!$L56^2))+('Temperature Corrections'!$D$12*('Data Entry'!$L56^3))+('Temperature Corrections'!$D$13*('Data Entry'!$L56^4))+('Temperature Corrections'!$D$14*('Data Entry'!$L56^5)))/'Temperature Corrections'!$G$6</f>
        <v>45.924896767962373</v>
      </c>
      <c r="R56" s="33">
        <f>N56*('Temperature Corrections'!$D$9+'Temperature Corrections'!$D$10*'Data Entry'!$O56+('Temperature Corrections'!$D$11*('Data Entry'!$O56^2))+('Temperature Corrections'!$D$12*('Data Entry'!$O56^3))+('Temperature Corrections'!$D$13*('Data Entry'!$O56^4))+('Temperature Corrections'!$D$14*('Data Entry'!$O56^5)))/'Temperature Corrections'!$G$6</f>
        <v>4.4420000000000002</v>
      </c>
      <c r="S56" s="33">
        <f>Q56*(34.9994*'Salinity Corrections'!$I$22+'Salinity Corrections'!$I$23)/'Salinity Corrections'!$K$23</f>
        <v>45.924896767962373</v>
      </c>
      <c r="T56" s="33">
        <f>R56*(P56*'Salinity Corrections'!$I$22+'Salinity Corrections'!$I$23)/'Salinity Corrections'!$K$23</f>
        <v>0.92570311110926851</v>
      </c>
      <c r="U56" s="34">
        <f t="shared" ref="U56:U57" si="27">S56/T56</f>
        <v>49.610826858873409</v>
      </c>
    </row>
    <row r="57" spans="1:21">
      <c r="A57" s="23">
        <v>501</v>
      </c>
      <c r="B57" s="23">
        <v>111</v>
      </c>
      <c r="C57" s="41" t="s">
        <v>102</v>
      </c>
      <c r="D57" s="23">
        <v>21</v>
      </c>
      <c r="E57" s="41" t="s">
        <v>95</v>
      </c>
      <c r="F57" s="23">
        <v>2</v>
      </c>
      <c r="G57" s="23">
        <v>150</v>
      </c>
      <c r="H57" s="24" t="str">
        <f t="shared" ref="H57:H58" si="28">CONCATENATE("M0",B57,"-",C57, "-",D57, "-",F57)</f>
        <v>M0111-C-21-2</v>
      </c>
      <c r="I57" s="32">
        <f>VLOOKUP(H57,'Depth vlookup'!G56:I1103,2,FALSE)+G57/100</f>
        <v>180.38</v>
      </c>
      <c r="J57" s="24">
        <v>2</v>
      </c>
      <c r="K57" s="37">
        <v>45.25</v>
      </c>
      <c r="L57" s="45">
        <v>20.7</v>
      </c>
      <c r="M57" s="24">
        <f t="shared" si="18"/>
        <v>4182</v>
      </c>
      <c r="N57" s="40">
        <v>4.1820000000000004</v>
      </c>
      <c r="O57" s="47">
        <v>19.8</v>
      </c>
      <c r="P57" s="23">
        <v>6</v>
      </c>
      <c r="Q57" s="33">
        <f>K57*('Temperature Corrections'!$D$9+'Temperature Corrections'!$D$10*'Data Entry'!$L57+('Temperature Corrections'!$D$11*('Data Entry'!$L57^2))+('Temperature Corrections'!$D$12*('Data Entry'!$L57^3))+('Temperature Corrections'!$D$13*('Data Entry'!$L57^4))+('Temperature Corrections'!$D$14*('Data Entry'!$L57^5)))/'Temperature Corrections'!$G$6</f>
        <v>45.924896767962373</v>
      </c>
      <c r="R57" s="33">
        <f>N57*('Temperature Corrections'!$D$9+'Temperature Corrections'!$D$10*'Data Entry'!$O57+('Temperature Corrections'!$D$11*('Data Entry'!$O57^2))+('Temperature Corrections'!$D$12*('Data Entry'!$O57^3))+('Temperature Corrections'!$D$13*('Data Entry'!$O57^4))+('Temperature Corrections'!$D$14*('Data Entry'!$O57^5)))/'Temperature Corrections'!$G$6</f>
        <v>4.1642247780032227</v>
      </c>
      <c r="S57" s="33">
        <f>Q57*(34.9994*'Salinity Corrections'!$I$22+'Salinity Corrections'!$I$23)/'Salinity Corrections'!$K$23</f>
        <v>45.924896767962373</v>
      </c>
      <c r="T57" s="33">
        <f>R57*(P57*'Salinity Corrections'!$I$22+'Salinity Corrections'!$I$23)/'Salinity Corrections'!$K$23</f>
        <v>0.86781536072847498</v>
      </c>
      <c r="U57" s="34">
        <f t="shared" si="27"/>
        <v>52.920124310096774</v>
      </c>
    </row>
    <row r="58" spans="1:21">
      <c r="A58" s="23">
        <v>501</v>
      </c>
      <c r="B58" s="23">
        <v>111</v>
      </c>
      <c r="C58" s="41" t="s">
        <v>102</v>
      </c>
      <c r="D58" s="23">
        <v>26</v>
      </c>
      <c r="E58" s="41" t="s">
        <v>95</v>
      </c>
      <c r="F58" s="23">
        <v>1</v>
      </c>
      <c r="G58" s="23">
        <v>41</v>
      </c>
      <c r="H58" s="24" t="str">
        <f t="shared" si="28"/>
        <v>M0111-C-26-1</v>
      </c>
      <c r="I58" s="32">
        <f>VLOOKUP(H58,'Depth vlookup'!G57:I1104,2,FALSE)+G58/100</f>
        <v>195.77</v>
      </c>
      <c r="J58" s="24">
        <v>2</v>
      </c>
      <c r="K58" s="37">
        <v>44.93</v>
      </c>
      <c r="L58" s="45">
        <v>21</v>
      </c>
      <c r="M58" s="24">
        <f t="shared" si="18"/>
        <v>3800</v>
      </c>
      <c r="N58" s="40">
        <v>3.8</v>
      </c>
      <c r="O58" s="47">
        <v>20</v>
      </c>
      <c r="P58" s="23">
        <v>6</v>
      </c>
      <c r="Q58" s="33">
        <f>K58*('Temperature Corrections'!$D$9+'Temperature Corrections'!$D$10*'Data Entry'!$L58+('Temperature Corrections'!$D$11*('Data Entry'!$L58^2))+('Temperature Corrections'!$D$12*('Data Entry'!$L58^3))+('Temperature Corrections'!$D$13*('Data Entry'!$L58^4))+('Temperature Corrections'!$D$14*('Data Entry'!$L58^5)))/'Temperature Corrections'!$G$6</f>
        <v>45.888115541352548</v>
      </c>
      <c r="R58" s="33">
        <f>N58*('Temperature Corrections'!$D$9+'Temperature Corrections'!$D$10*'Data Entry'!$O58+('Temperature Corrections'!$D$11*('Data Entry'!$O58^2))+('Temperature Corrections'!$D$12*('Data Entry'!$O58^3))+('Temperature Corrections'!$D$13*('Data Entry'!$O58^4))+('Temperature Corrections'!$D$14*('Data Entry'!$O58^5)))/'Temperature Corrections'!$G$6</f>
        <v>3.8</v>
      </c>
      <c r="S58" s="33">
        <f>Q58*(34.9994*'Salinity Corrections'!$I$22+'Salinity Corrections'!$I$23)/'Salinity Corrections'!$K$23</f>
        <v>45.888115541352548</v>
      </c>
      <c r="T58" s="33">
        <f>R58*(P58*'Salinity Corrections'!$I$22+'Salinity Corrections'!$I$23)/'Salinity Corrections'!$K$23</f>
        <v>0.79191171143971628</v>
      </c>
      <c r="U58" s="34">
        <f t="shared" ref="U58:U59" si="29">S58/T58</f>
        <v>57.945999381580997</v>
      </c>
    </row>
    <row r="59" spans="1:21">
      <c r="A59" s="23">
        <v>501</v>
      </c>
      <c r="B59" s="23">
        <v>111</v>
      </c>
      <c r="C59" s="41" t="s">
        <v>102</v>
      </c>
      <c r="D59" s="23">
        <v>26</v>
      </c>
      <c r="E59" s="41" t="s">
        <v>95</v>
      </c>
      <c r="F59" s="23">
        <v>1</v>
      </c>
      <c r="G59" s="23">
        <v>41</v>
      </c>
      <c r="H59" s="24" t="str">
        <f t="shared" ref="H59:H60" si="30">CONCATENATE("M0",B59,"-",C59, "-",D59, "-",F59)</f>
        <v>M0111-C-26-1</v>
      </c>
      <c r="I59" s="32">
        <f>VLOOKUP(H59,'Depth vlookup'!G58:I1105,2,FALSE)+G59/100</f>
        <v>195.77</v>
      </c>
      <c r="J59" s="24">
        <v>2</v>
      </c>
      <c r="K59" s="37">
        <v>44.93</v>
      </c>
      <c r="L59" s="45">
        <v>21</v>
      </c>
      <c r="M59" s="24">
        <f t="shared" si="18"/>
        <v>3607</v>
      </c>
      <c r="N59" s="40">
        <v>3.6070000000000002</v>
      </c>
      <c r="O59" s="47">
        <v>19.899999999999999</v>
      </c>
      <c r="P59" s="23">
        <v>6</v>
      </c>
      <c r="Q59" s="33">
        <f>K59*('Temperature Corrections'!$D$9+'Temperature Corrections'!$D$10*'Data Entry'!$L59+('Temperature Corrections'!$D$11*('Data Entry'!$L59^2))+('Temperature Corrections'!$D$12*('Data Entry'!$L59^3))+('Temperature Corrections'!$D$13*('Data Entry'!$L59^4))+('Temperature Corrections'!$D$14*('Data Entry'!$L59^5)))/'Temperature Corrections'!$G$6</f>
        <v>45.888115541352548</v>
      </c>
      <c r="R59" s="33">
        <f>N59*('Temperature Corrections'!$D$9+'Temperature Corrections'!$D$10*'Data Entry'!$O59+('Temperature Corrections'!$D$11*('Data Entry'!$O59^2))+('Temperature Corrections'!$D$12*('Data Entry'!$O59^3))+('Temperature Corrections'!$D$13*('Data Entry'!$O59^4))+('Temperature Corrections'!$D$14*('Data Entry'!$O59^5)))/'Temperature Corrections'!$G$6</f>
        <v>3.5993321364873445</v>
      </c>
      <c r="S59" s="33">
        <f>Q59*(34.9994*'Salinity Corrections'!$I$22+'Salinity Corrections'!$I$23)/'Salinity Corrections'!$K$23</f>
        <v>45.888115541352548</v>
      </c>
      <c r="T59" s="33">
        <f>R59*(P59*'Salinity Corrections'!$I$22+'Salinity Corrections'!$I$23)/'Salinity Corrections'!$K$23</f>
        <v>0.75009296638043788</v>
      </c>
      <c r="U59" s="34">
        <f t="shared" si="29"/>
        <v>61.176570902650838</v>
      </c>
    </row>
    <row r="60" spans="1:21">
      <c r="A60" s="23">
        <v>501</v>
      </c>
      <c r="B60" s="23">
        <v>111</v>
      </c>
      <c r="C60" s="41" t="s">
        <v>102</v>
      </c>
      <c r="D60" s="23">
        <v>30</v>
      </c>
      <c r="E60" s="41" t="s">
        <v>95</v>
      </c>
      <c r="F60" s="23">
        <v>1</v>
      </c>
      <c r="G60" s="23">
        <v>41</v>
      </c>
      <c r="H60" s="24" t="str">
        <f t="shared" si="30"/>
        <v>M0111-C-30-1</v>
      </c>
      <c r="I60" s="32">
        <f>VLOOKUP(H60,'Depth vlookup'!G59:I1106,2,FALSE)+G60/100</f>
        <v>207.77</v>
      </c>
      <c r="J60" s="24">
        <v>2</v>
      </c>
      <c r="K60" s="37">
        <v>44.64</v>
      </c>
      <c r="L60" s="45">
        <v>20.8</v>
      </c>
      <c r="M60" s="24">
        <f t="shared" si="18"/>
        <v>2986</v>
      </c>
      <c r="N60" s="40">
        <v>2.9860000000000002</v>
      </c>
      <c r="O60" s="47">
        <v>18.899999999999999</v>
      </c>
      <c r="P60" s="23">
        <v>6</v>
      </c>
      <c r="Q60" s="33">
        <f>K60*('Temperature Corrections'!$D$9+'Temperature Corrections'!$D$10*'Data Entry'!$L60+('Temperature Corrections'!$D$11*('Data Entry'!$L60^2))+('Temperature Corrections'!$D$12*('Data Entry'!$L60^3))+('Temperature Corrections'!$D$13*('Data Entry'!$L60^4))+('Temperature Corrections'!$D$14*('Data Entry'!$L60^5)))/'Temperature Corrections'!$G$6</f>
        <v>45.40112472642015</v>
      </c>
      <c r="R60" s="33">
        <f>N60*('Temperature Corrections'!$D$9+'Temperature Corrections'!$D$10*'Data Entry'!$O60+('Temperature Corrections'!$D$11*('Data Entry'!$O60^2))+('Temperature Corrections'!$D$12*('Data Entry'!$O60^3))+('Temperature Corrections'!$D$13*('Data Entry'!$O60^4))+('Temperature Corrections'!$D$14*('Data Entry'!$O60^5)))/'Temperature Corrections'!$G$6</f>
        <v>2.9163844191771373</v>
      </c>
      <c r="S60" s="33">
        <f>Q60*(34.9994*'Salinity Corrections'!$I$22+'Salinity Corrections'!$I$23)/'Salinity Corrections'!$K$23</f>
        <v>45.40112472642015</v>
      </c>
      <c r="T60" s="33">
        <f>R60*(P60*'Salinity Corrections'!$I$22+'Salinity Corrections'!$I$23)/'Salinity Corrections'!$K$23</f>
        <v>0.60776815173860255</v>
      </c>
      <c r="U60" s="34">
        <f t="shared" ref="U60:U61" si="31">S60/T60</f>
        <v>74.701388344460184</v>
      </c>
    </row>
    <row r="61" spans="1:21">
      <c r="A61" s="23">
        <v>501</v>
      </c>
      <c r="B61" s="23">
        <v>111</v>
      </c>
      <c r="C61" s="41" t="s">
        <v>102</v>
      </c>
      <c r="D61" s="23">
        <v>30</v>
      </c>
      <c r="E61" s="41" t="s">
        <v>95</v>
      </c>
      <c r="F61" s="23">
        <v>1</v>
      </c>
      <c r="G61" s="23">
        <v>41</v>
      </c>
      <c r="H61" s="24" t="str">
        <f t="shared" ref="H61:H67" si="32">CONCATENATE("M0",B61,"-",C61, "-",D61, "-",F61)</f>
        <v>M0111-C-30-1</v>
      </c>
      <c r="I61" s="32">
        <f>VLOOKUP(H61,'Depth vlookup'!G60:I1107,2,FALSE)+G61/100</f>
        <v>207.77</v>
      </c>
      <c r="J61" s="24">
        <v>2</v>
      </c>
      <c r="K61" s="37">
        <v>44.64</v>
      </c>
      <c r="L61" s="45">
        <v>20.8</v>
      </c>
      <c r="M61" s="24">
        <f t="shared" si="18"/>
        <v>2952</v>
      </c>
      <c r="N61" s="40">
        <v>2.952</v>
      </c>
      <c r="O61" s="47">
        <v>18.899999999999999</v>
      </c>
      <c r="P61" s="23">
        <v>6</v>
      </c>
      <c r="Q61" s="33">
        <f>K61*('Temperature Corrections'!$D$9+'Temperature Corrections'!$D$10*'Data Entry'!$L61+('Temperature Corrections'!$D$11*('Data Entry'!$L61^2))+('Temperature Corrections'!$D$12*('Data Entry'!$L61^3))+('Temperature Corrections'!$D$13*('Data Entry'!$L61^4))+('Temperature Corrections'!$D$14*('Data Entry'!$L61^5)))/'Temperature Corrections'!$G$6</f>
        <v>45.40112472642015</v>
      </c>
      <c r="R61" s="33">
        <f>N61*('Temperature Corrections'!$D$9+'Temperature Corrections'!$D$10*'Data Entry'!$O61+('Temperature Corrections'!$D$11*('Data Entry'!$O61^2))+('Temperature Corrections'!$D$12*('Data Entry'!$O61^3))+('Temperature Corrections'!$D$13*('Data Entry'!$O61^4))+('Temperature Corrections'!$D$14*('Data Entry'!$O61^5)))/'Temperature Corrections'!$G$6</f>
        <v>2.8831770949132314</v>
      </c>
      <c r="S61" s="33">
        <f>Q61*(34.9994*'Salinity Corrections'!$I$22+'Salinity Corrections'!$I$23)/'Salinity Corrections'!$K$23</f>
        <v>45.40112472642015</v>
      </c>
      <c r="T61" s="33">
        <f>R61*(P61*'Salinity Corrections'!$I$22+'Salinity Corrections'!$I$23)/'Salinity Corrections'!$K$23</f>
        <v>0.60084781779382279</v>
      </c>
      <c r="U61" s="34">
        <f t="shared" si="31"/>
        <v>75.561770188535931</v>
      </c>
    </row>
    <row r="62" spans="1:21">
      <c r="A62" s="23">
        <v>501</v>
      </c>
      <c r="B62" s="23">
        <v>111</v>
      </c>
      <c r="C62" s="48" t="s">
        <v>102</v>
      </c>
      <c r="D62" s="23">
        <v>39</v>
      </c>
      <c r="E62" s="48" t="s">
        <v>95</v>
      </c>
      <c r="F62" s="23">
        <v>1</v>
      </c>
      <c r="G62" s="23">
        <v>28</v>
      </c>
      <c r="H62" s="24" t="str">
        <f t="shared" si="32"/>
        <v>M0111-C-39-1</v>
      </c>
      <c r="I62" s="32">
        <f>VLOOKUP(H62,'Depth vlookup'!G61:I1108,2,FALSE)+G62/100</f>
        <v>229.64000000000001</v>
      </c>
      <c r="J62" s="24">
        <v>2</v>
      </c>
      <c r="K62" s="37">
        <v>44.69</v>
      </c>
      <c r="L62" s="45">
        <v>20.8</v>
      </c>
      <c r="M62" s="24">
        <f t="shared" si="18"/>
        <v>5753</v>
      </c>
      <c r="N62" s="40">
        <v>5.7530000000000001</v>
      </c>
      <c r="O62" s="47">
        <v>15.5</v>
      </c>
      <c r="P62" s="23">
        <v>6</v>
      </c>
      <c r="Q62" s="33">
        <f>K62*('Temperature Corrections'!$D$9+'Temperature Corrections'!$D$10*'Data Entry'!$L62+('Temperature Corrections'!$D$11*('Data Entry'!$L62^2))+('Temperature Corrections'!$D$12*('Data Entry'!$L62^3))+('Temperature Corrections'!$D$13*('Data Entry'!$L62^4))+('Temperature Corrections'!$D$14*('Data Entry'!$L62^5)))/'Temperature Corrections'!$G$6</f>
        <v>45.451977240674651</v>
      </c>
      <c r="R62" s="33">
        <f>N62*('Temperature Corrections'!$D$9+'Temperature Corrections'!$D$10*'Data Entry'!$O62+('Temperature Corrections'!$D$11*('Data Entry'!$O62^2))+('Temperature Corrections'!$D$12*('Data Entry'!$O62^3))+('Temperature Corrections'!$D$13*('Data Entry'!$O62^4))+('Temperature Corrections'!$D$14*('Data Entry'!$O62^5)))/'Temperature Corrections'!$G$6</f>
        <v>5.2105474444840389</v>
      </c>
      <c r="S62" s="33">
        <f>Q62*(34.9994*'Salinity Corrections'!$I$22+'Salinity Corrections'!$I$23)/'Salinity Corrections'!$K$23</f>
        <v>45.451977240674651</v>
      </c>
      <c r="T62" s="33">
        <f>R62*(P62*'Salinity Corrections'!$I$22+'Salinity Corrections'!$I$23)/'Salinity Corrections'!$K$23</f>
        <v>1.0858667221839988</v>
      </c>
      <c r="U62" s="34">
        <f t="shared" ref="U62:U63" si="33">S62/T62</f>
        <v>41.857786330588802</v>
      </c>
    </row>
    <row r="63" spans="1:21">
      <c r="A63" s="23">
        <v>501</v>
      </c>
      <c r="B63" s="23">
        <v>111</v>
      </c>
      <c r="C63" s="48" t="s">
        <v>102</v>
      </c>
      <c r="D63" s="23">
        <v>39</v>
      </c>
      <c r="E63" s="48" t="s">
        <v>95</v>
      </c>
      <c r="F63" s="23">
        <v>1</v>
      </c>
      <c r="G63" s="23">
        <v>30</v>
      </c>
      <c r="H63" s="24" t="str">
        <f t="shared" si="32"/>
        <v>M0111-C-39-1</v>
      </c>
      <c r="I63" s="32">
        <f>VLOOKUP(H63,'Depth vlookup'!G62:I1109,2,FALSE)+G63/100</f>
        <v>229.66000000000003</v>
      </c>
      <c r="J63" s="24">
        <v>2</v>
      </c>
      <c r="K63" s="37">
        <v>44.69</v>
      </c>
      <c r="L63" s="45">
        <v>20.8</v>
      </c>
      <c r="M63" s="24">
        <f t="shared" si="18"/>
        <v>5075</v>
      </c>
      <c r="N63" s="40">
        <v>5.0750000000000002</v>
      </c>
      <c r="O63" s="47">
        <v>15.8</v>
      </c>
      <c r="P63" s="23">
        <v>6</v>
      </c>
      <c r="Q63" s="33">
        <f>K63*('Temperature Corrections'!$D$9+'Temperature Corrections'!$D$10*'Data Entry'!$L63+('Temperature Corrections'!$D$11*('Data Entry'!$L63^2))+('Temperature Corrections'!$D$12*('Data Entry'!$L63^3))+('Temperature Corrections'!$D$13*('Data Entry'!$L63^4))+('Temperature Corrections'!$D$14*('Data Entry'!$L63^5)))/'Temperature Corrections'!$G$6</f>
        <v>45.451977240674651</v>
      </c>
      <c r="R63" s="33">
        <f>N63*('Temperature Corrections'!$D$9+'Temperature Corrections'!$D$10*'Data Entry'!$O63+('Temperature Corrections'!$D$11*('Data Entry'!$O63^2))+('Temperature Corrections'!$D$12*('Data Entry'!$O63^3))+('Temperature Corrections'!$D$13*('Data Entry'!$O63^4))+('Temperature Corrections'!$D$14*('Data Entry'!$O63^5)))/'Temperature Corrections'!$G$6</f>
        <v>4.6278931928185409</v>
      </c>
      <c r="S63" s="33">
        <f>Q63*(34.9994*'Salinity Corrections'!$I$22+'Salinity Corrections'!$I$23)/'Salinity Corrections'!$K$23</f>
        <v>45.451977240674651</v>
      </c>
      <c r="T63" s="33">
        <f>R63*(P63*'Salinity Corrections'!$I$22+'Salinity Corrections'!$I$23)/'Salinity Corrections'!$K$23</f>
        <v>0.96444284702240635</v>
      </c>
      <c r="U63" s="34">
        <f t="shared" si="33"/>
        <v>47.127704229443772</v>
      </c>
    </row>
    <row r="64" spans="1:21">
      <c r="A64" s="23">
        <v>501</v>
      </c>
      <c r="B64" s="23">
        <v>112</v>
      </c>
      <c r="C64" s="48" t="s">
        <v>92</v>
      </c>
      <c r="D64" s="23">
        <v>1</v>
      </c>
      <c r="E64" s="48" t="s">
        <v>93</v>
      </c>
      <c r="F64" s="23">
        <v>1</v>
      </c>
      <c r="G64" s="23">
        <v>54</v>
      </c>
      <c r="H64" s="24" t="str">
        <f t="shared" si="32"/>
        <v>M0112-A-1-1</v>
      </c>
      <c r="I64" s="32">
        <f>VLOOKUP(H64,'Depth vlookup'!G63:I1110,2,FALSE)+G64/100</f>
        <v>0.54</v>
      </c>
      <c r="J64" s="24">
        <v>2</v>
      </c>
      <c r="K64" s="37">
        <v>44.41</v>
      </c>
      <c r="L64" s="45">
        <v>20.9</v>
      </c>
      <c r="M64" s="24">
        <f t="shared" si="18"/>
        <v>13200</v>
      </c>
      <c r="N64" s="40">
        <v>13.2</v>
      </c>
      <c r="O64" s="47">
        <v>17</v>
      </c>
      <c r="P64" s="23">
        <v>32</v>
      </c>
      <c r="Q64" s="33">
        <f>K64*('Temperature Corrections'!$D$9+'Temperature Corrections'!$D$10*'Data Entry'!$L64+('Temperature Corrections'!$D$11*('Data Entry'!$L64^2))+('Temperature Corrections'!$D$12*('Data Entry'!$L64^3))+('Temperature Corrections'!$D$13*('Data Entry'!$L64^4))+('Temperature Corrections'!$D$14*('Data Entry'!$L64^5)))/'Temperature Corrections'!$G$6</f>
        <v>45.262089447410673</v>
      </c>
      <c r="R64" s="33">
        <f>N64*('Temperature Corrections'!$D$9+'Temperature Corrections'!$D$10*'Data Entry'!$O64+('Temperature Corrections'!$D$11*('Data Entry'!$O64^2))+('Temperature Corrections'!$D$12*('Data Entry'!$O64^3))+('Temperature Corrections'!$D$13*('Data Entry'!$O64^4))+('Temperature Corrections'!$D$14*('Data Entry'!$O64^5)))/'Temperature Corrections'!$G$6</f>
        <v>12.36585164146874</v>
      </c>
      <c r="S64" s="33">
        <f>Q64*(34.9994*'Salinity Corrections'!$I$22+'Salinity Corrections'!$I$23)/'Salinity Corrections'!$K$23</f>
        <v>45.262089447410666</v>
      </c>
      <c r="T64" s="33">
        <f>R64*(P64*'Salinity Corrections'!$I$22+'Salinity Corrections'!$I$23)/'Salinity Corrections'!$K$23</f>
        <v>11.353395104634515</v>
      </c>
      <c r="U64" s="34">
        <f t="shared" ref="U64:U65" si="34">S64/T64</f>
        <v>3.9866567692103345</v>
      </c>
    </row>
    <row r="65" spans="1:21">
      <c r="A65" s="23">
        <v>501</v>
      </c>
      <c r="B65" s="23">
        <v>112</v>
      </c>
      <c r="C65" s="48" t="s">
        <v>92</v>
      </c>
      <c r="D65" s="23">
        <v>1</v>
      </c>
      <c r="E65" s="48" t="s">
        <v>93</v>
      </c>
      <c r="F65" s="23">
        <v>1</v>
      </c>
      <c r="G65" s="23">
        <v>56</v>
      </c>
      <c r="H65" s="24" t="str">
        <f t="shared" si="32"/>
        <v>M0112-A-1-1</v>
      </c>
      <c r="I65" s="32">
        <f>VLOOKUP(H65,'Depth vlookup'!G64:I1111,2,FALSE)+G65/100</f>
        <v>0.56000000000000005</v>
      </c>
      <c r="J65" s="24">
        <v>2</v>
      </c>
      <c r="K65" s="37">
        <v>44.41</v>
      </c>
      <c r="L65" s="45">
        <v>20.9</v>
      </c>
      <c r="M65" s="24">
        <f t="shared" si="18"/>
        <v>11090</v>
      </c>
      <c r="N65" s="40">
        <v>11.09</v>
      </c>
      <c r="O65" s="47">
        <v>17</v>
      </c>
      <c r="P65" s="23">
        <v>32</v>
      </c>
      <c r="Q65" s="33">
        <f>K65*('Temperature Corrections'!$D$9+'Temperature Corrections'!$D$10*'Data Entry'!$L65+('Temperature Corrections'!$D$11*('Data Entry'!$L65^2))+('Temperature Corrections'!$D$12*('Data Entry'!$L65^3))+('Temperature Corrections'!$D$13*('Data Entry'!$L65^4))+('Temperature Corrections'!$D$14*('Data Entry'!$L65^5)))/'Temperature Corrections'!$G$6</f>
        <v>45.262089447410673</v>
      </c>
      <c r="R65" s="33">
        <f>N65*('Temperature Corrections'!$D$9+'Temperature Corrections'!$D$10*'Data Entry'!$O65+('Temperature Corrections'!$D$11*('Data Entry'!$O65^2))+('Temperature Corrections'!$D$12*('Data Entry'!$O65^3))+('Temperature Corrections'!$D$13*('Data Entry'!$O65^4))+('Temperature Corrections'!$D$14*('Data Entry'!$O65^5)))/'Temperature Corrections'!$G$6</f>
        <v>10.389188992718813</v>
      </c>
      <c r="S65" s="33">
        <f>Q65*(34.9994*'Salinity Corrections'!$I$22+'Salinity Corrections'!$I$23)/'Salinity Corrections'!$K$23</f>
        <v>45.262089447410666</v>
      </c>
      <c r="T65" s="33">
        <f>R65*(P65*'Salinity Corrections'!$I$22+'Salinity Corrections'!$I$23)/'Salinity Corrections'!$K$23</f>
        <v>9.5385720992724838</v>
      </c>
      <c r="U65" s="34">
        <f t="shared" si="34"/>
        <v>4.7451640535235722</v>
      </c>
    </row>
    <row r="66" spans="1:21">
      <c r="A66" s="23">
        <v>501</v>
      </c>
      <c r="B66" s="23">
        <v>112</v>
      </c>
      <c r="C66" s="48" t="s">
        <v>92</v>
      </c>
      <c r="D66" s="23">
        <v>10</v>
      </c>
      <c r="E66" s="48" t="s">
        <v>93</v>
      </c>
      <c r="F66" s="23">
        <v>1</v>
      </c>
      <c r="G66" s="23">
        <v>100</v>
      </c>
      <c r="H66" s="24" t="str">
        <f t="shared" si="32"/>
        <v>M0112-A-10-1</v>
      </c>
      <c r="I66" s="32">
        <f>VLOOKUP(H66,'Depth vlookup'!G65:I1112,2,FALSE)+G66/100</f>
        <v>20.87</v>
      </c>
      <c r="J66" s="24">
        <v>2</v>
      </c>
      <c r="K66" s="37">
        <v>44.48</v>
      </c>
      <c r="L66" s="45">
        <v>21.1</v>
      </c>
      <c r="M66" s="24">
        <f t="shared" si="18"/>
        <v>7250</v>
      </c>
      <c r="N66" s="40">
        <v>7.25</v>
      </c>
      <c r="O66" s="47">
        <v>18.7</v>
      </c>
      <c r="P66" s="23">
        <v>32</v>
      </c>
      <c r="Q66" s="33">
        <f>K66*('Temperature Corrections'!$D$9+'Temperature Corrections'!$D$10*'Data Entry'!$L66+('Temperature Corrections'!$D$11*('Data Entry'!$L66^2))+('Temperature Corrections'!$D$12*('Data Entry'!$L66^3))+('Temperature Corrections'!$D$13*('Data Entry'!$L66^4))+('Temperature Corrections'!$D$14*('Data Entry'!$L66^5)))/'Temperature Corrections'!$G$6</f>
        <v>45.52365704836437</v>
      </c>
      <c r="R66" s="33">
        <f>N66*('Temperature Corrections'!$D$9+'Temperature Corrections'!$D$10*'Data Entry'!$O66+('Temperature Corrections'!$D$11*('Data Entry'!$O66^2))+('Temperature Corrections'!$D$12*('Data Entry'!$O66^3))+('Temperature Corrections'!$D$13*('Data Entry'!$O66^4))+('Temperature Corrections'!$D$14*('Data Entry'!$O66^5)))/'Temperature Corrections'!$G$6</f>
        <v>7.0503653721657473</v>
      </c>
      <c r="S66" s="33">
        <f>Q66*(34.9994*'Salinity Corrections'!$I$22+'Salinity Corrections'!$I$23)/'Salinity Corrections'!$K$23</f>
        <v>45.523657048364363</v>
      </c>
      <c r="T66" s="33">
        <f>R66*(P66*'Salinity Corrections'!$I$22+'Salinity Corrections'!$I$23)/'Salinity Corrections'!$K$23</f>
        <v>6.4731153197568174</v>
      </c>
      <c r="U66" s="34">
        <f t="shared" ref="U66" si="35">S66/T66</f>
        <v>7.0327276434300572</v>
      </c>
    </row>
    <row r="67" spans="1:21">
      <c r="A67" s="23">
        <v>501</v>
      </c>
      <c r="B67" s="23">
        <v>112</v>
      </c>
      <c r="C67" s="48" t="s">
        <v>92</v>
      </c>
      <c r="D67" s="23">
        <v>10</v>
      </c>
      <c r="E67" s="48" t="s">
        <v>93</v>
      </c>
      <c r="F67" s="23">
        <v>1</v>
      </c>
      <c r="G67" s="23">
        <v>104</v>
      </c>
      <c r="H67" s="24" t="str">
        <f t="shared" si="32"/>
        <v>M0112-A-10-1</v>
      </c>
      <c r="I67" s="32">
        <f>VLOOKUP(H67,'Depth vlookup'!G66:I1113,2,FALSE)+G67/100</f>
        <v>20.91</v>
      </c>
      <c r="J67" s="24">
        <v>2</v>
      </c>
      <c r="K67" s="37">
        <v>44.48</v>
      </c>
      <c r="L67" s="45">
        <v>21.1</v>
      </c>
      <c r="M67" s="24">
        <f t="shared" si="18"/>
        <v>6104</v>
      </c>
      <c r="N67" s="40">
        <v>6.1040000000000001</v>
      </c>
      <c r="O67" s="47">
        <v>18.7</v>
      </c>
      <c r="P67" s="23">
        <v>32</v>
      </c>
      <c r="Q67" s="33">
        <f>K67*('Temperature Corrections'!$D$9+'Temperature Corrections'!$D$10*'Data Entry'!$L67+('Temperature Corrections'!$D$11*('Data Entry'!$L67^2))+('Temperature Corrections'!$D$12*('Data Entry'!$L67^3))+('Temperature Corrections'!$D$13*('Data Entry'!$L67^4))+('Temperature Corrections'!$D$14*('Data Entry'!$L67^5)))/'Temperature Corrections'!$G$6</f>
        <v>45.52365704836437</v>
      </c>
      <c r="R67" s="33">
        <f>N67*('Temperature Corrections'!$D$9+'Temperature Corrections'!$D$10*'Data Entry'!$O67+('Temperature Corrections'!$D$11*('Data Entry'!$O67^2))+('Temperature Corrections'!$D$12*('Data Entry'!$O67^3))+('Temperature Corrections'!$D$13*('Data Entry'!$O67^4))+('Temperature Corrections'!$D$14*('Data Entry'!$O67^5)))/'Temperature Corrections'!$G$6</f>
        <v>5.9359214112689269</v>
      </c>
      <c r="S67" s="33">
        <f>Q67*(34.9994*'Salinity Corrections'!$I$22+'Salinity Corrections'!$I$23)/'Salinity Corrections'!$K$23</f>
        <v>45.523657048364363</v>
      </c>
      <c r="T67" s="33">
        <f>R67*(P67*'Salinity Corrections'!$I$22+'Salinity Corrections'!$I$23)/'Salinity Corrections'!$K$23</f>
        <v>5.4499166774890506</v>
      </c>
      <c r="U67" s="34">
        <f t="shared" ref="U67" si="36">S67/T67</f>
        <v>8.3530923025668269</v>
      </c>
    </row>
  </sheetData>
  <dataValidations count="1">
    <dataValidation type="list" allowBlank="1" showInputMessage="1" showErrorMessage="1" sqref="J3:J29" xr:uid="{AEA64E7E-F82A-284E-B519-92D70BB44F54}">
      <formula1>"1, 2"</formula1>
    </dataValidation>
  </dataValidation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55BB-C40E-400B-98A5-89F073EEA1F9}">
  <dimension ref="A1:T1049"/>
  <sheetViews>
    <sheetView topLeftCell="A1032" zoomScale="90" zoomScaleNormal="90" workbookViewId="0">
      <selection activeCell="G2" sqref="G2"/>
    </sheetView>
  </sheetViews>
  <sheetFormatPr defaultRowHeight="13.8"/>
  <cols>
    <col min="1" max="6" width="8.7265625" style="17"/>
    <col min="7" max="7" width="13.26953125" style="17" customWidth="1"/>
    <col min="8" max="8" width="10" style="17" customWidth="1"/>
    <col min="9" max="9" width="12.26953125" style="17" customWidth="1"/>
    <col min="10" max="13" width="8.7265625" style="17"/>
    <col min="14" max="14" width="19" style="17" customWidth="1"/>
    <col min="15" max="16384" width="8.7265625" style="17"/>
  </cols>
  <sheetData>
    <row r="1" spans="1:9">
      <c r="A1" s="17" t="s">
        <v>30</v>
      </c>
      <c r="B1" s="17" t="s">
        <v>18</v>
      </c>
      <c r="C1" s="17" t="s">
        <v>19</v>
      </c>
      <c r="D1" s="17" t="s">
        <v>96</v>
      </c>
      <c r="E1" s="17" t="s">
        <v>22</v>
      </c>
      <c r="F1" s="17" t="s">
        <v>97</v>
      </c>
      <c r="G1" s="17" t="s">
        <v>91</v>
      </c>
      <c r="H1" s="17" t="s">
        <v>98</v>
      </c>
      <c r="I1" s="17" t="s">
        <v>99</v>
      </c>
    </row>
    <row r="2" spans="1:9">
      <c r="A2" s="17">
        <v>501</v>
      </c>
      <c r="B2" s="17" t="s">
        <v>100</v>
      </c>
      <c r="C2" s="17" t="s">
        <v>92</v>
      </c>
      <c r="D2" s="17">
        <v>1</v>
      </c>
      <c r="E2" s="17" t="s">
        <v>93</v>
      </c>
      <c r="F2" s="17">
        <v>1</v>
      </c>
      <c r="G2" s="17" t="str">
        <f>CONCATENATE(B2, "-",C2, "-", D2, "-", F2)</f>
        <v>M0111-A-1-1</v>
      </c>
      <c r="H2" s="17">
        <v>0</v>
      </c>
      <c r="I2" s="17">
        <v>1.5</v>
      </c>
    </row>
    <row r="3" spans="1:9">
      <c r="A3" s="17">
        <v>501</v>
      </c>
      <c r="B3" s="17" t="s">
        <v>100</v>
      </c>
      <c r="C3" s="17" t="s">
        <v>92</v>
      </c>
      <c r="D3" s="17">
        <v>1</v>
      </c>
      <c r="E3" s="17" t="s">
        <v>93</v>
      </c>
      <c r="F3" s="17">
        <v>2</v>
      </c>
      <c r="G3" s="17" t="str">
        <f t="shared" ref="G3:G66" si="0">CONCATENATE(B3, "-",C3, "-", D3, "-", F3)</f>
        <v>M0111-A-1-2</v>
      </c>
      <c r="H3" s="17">
        <v>1.5</v>
      </c>
      <c r="I3" s="17">
        <v>2.9</v>
      </c>
    </row>
    <row r="4" spans="1:9">
      <c r="A4" s="17">
        <v>501</v>
      </c>
      <c r="B4" s="17" t="s">
        <v>100</v>
      </c>
      <c r="C4" s="17" t="s">
        <v>92</v>
      </c>
      <c r="D4" s="17">
        <v>2</v>
      </c>
      <c r="E4" s="17" t="s">
        <v>93</v>
      </c>
      <c r="F4" s="17">
        <v>1</v>
      </c>
      <c r="G4" s="17" t="str">
        <f t="shared" si="0"/>
        <v>M0111-A-2-1</v>
      </c>
      <c r="H4" s="17">
        <v>2.4</v>
      </c>
      <c r="I4" s="17">
        <v>3.91</v>
      </c>
    </row>
    <row r="5" spans="1:9">
      <c r="A5" s="17">
        <v>501</v>
      </c>
      <c r="B5" s="17" t="s">
        <v>100</v>
      </c>
      <c r="C5" s="17" t="s">
        <v>92</v>
      </c>
      <c r="D5" s="17">
        <v>2</v>
      </c>
      <c r="E5" s="17" t="s">
        <v>93</v>
      </c>
      <c r="F5" s="17">
        <v>2</v>
      </c>
      <c r="G5" s="17" t="str">
        <f t="shared" si="0"/>
        <v>M0111-A-2-2</v>
      </c>
      <c r="H5" s="17">
        <v>3.91</v>
      </c>
      <c r="I5" s="17">
        <v>4.99</v>
      </c>
    </row>
    <row r="6" spans="1:9">
      <c r="A6" s="17">
        <v>501</v>
      </c>
      <c r="B6" s="17" t="s">
        <v>100</v>
      </c>
      <c r="C6" s="17" t="s">
        <v>92</v>
      </c>
      <c r="D6" s="17">
        <v>3</v>
      </c>
      <c r="E6" s="17" t="s">
        <v>93</v>
      </c>
      <c r="F6" s="17">
        <v>1</v>
      </c>
      <c r="G6" s="17" t="str">
        <f t="shared" si="0"/>
        <v>M0111-A-3-1</v>
      </c>
      <c r="H6" s="17">
        <v>4.46</v>
      </c>
      <c r="I6" s="17">
        <v>5.97</v>
      </c>
    </row>
    <row r="7" spans="1:9">
      <c r="A7" s="17">
        <v>501</v>
      </c>
      <c r="B7" s="17" t="s">
        <v>100</v>
      </c>
      <c r="C7" s="17" t="s">
        <v>92</v>
      </c>
      <c r="D7" s="17">
        <v>3</v>
      </c>
      <c r="E7" s="17" t="s">
        <v>93</v>
      </c>
      <c r="F7" s="17">
        <v>2</v>
      </c>
      <c r="G7" s="17" t="str">
        <f t="shared" si="0"/>
        <v>M0111-A-3-2</v>
      </c>
      <c r="H7" s="17">
        <v>5.97</v>
      </c>
      <c r="I7" s="17">
        <v>7.1</v>
      </c>
    </row>
    <row r="8" spans="1:9">
      <c r="A8" s="17">
        <v>501</v>
      </c>
      <c r="B8" s="17" t="s">
        <v>100</v>
      </c>
      <c r="C8" s="17" t="s">
        <v>92</v>
      </c>
      <c r="D8" s="17">
        <v>4</v>
      </c>
      <c r="E8" s="17" t="s">
        <v>93</v>
      </c>
      <c r="F8" s="17">
        <v>1</v>
      </c>
      <c r="G8" s="17" t="str">
        <f t="shared" si="0"/>
        <v>M0111-A-4-1</v>
      </c>
      <c r="H8" s="17">
        <v>6.89</v>
      </c>
      <c r="I8" s="17">
        <v>8.4</v>
      </c>
    </row>
    <row r="9" spans="1:9">
      <c r="A9" s="17">
        <v>501</v>
      </c>
      <c r="B9" s="17" t="s">
        <v>100</v>
      </c>
      <c r="C9" s="17" t="s">
        <v>92</v>
      </c>
      <c r="D9" s="17">
        <v>4</v>
      </c>
      <c r="E9" s="17" t="s">
        <v>93</v>
      </c>
      <c r="F9" s="17">
        <v>2</v>
      </c>
      <c r="G9" s="17" t="str">
        <f t="shared" si="0"/>
        <v>M0111-A-4-2</v>
      </c>
      <c r="H9" s="17">
        <v>8.4</v>
      </c>
      <c r="I9" s="17">
        <v>9.6</v>
      </c>
    </row>
    <row r="10" spans="1:9">
      <c r="A10" s="17">
        <v>501</v>
      </c>
      <c r="B10" s="17" t="s">
        <v>100</v>
      </c>
      <c r="C10" s="17" t="s">
        <v>92</v>
      </c>
      <c r="D10" s="17">
        <v>5</v>
      </c>
      <c r="E10" s="17" t="s">
        <v>93</v>
      </c>
      <c r="F10" s="17">
        <v>1</v>
      </c>
      <c r="G10" s="17" t="str">
        <f t="shared" si="0"/>
        <v>M0111-A-5-1</v>
      </c>
      <c r="H10" s="17">
        <v>9.6</v>
      </c>
      <c r="I10" s="17">
        <v>11.1</v>
      </c>
    </row>
    <row r="11" spans="1:9">
      <c r="A11" s="17">
        <v>501</v>
      </c>
      <c r="B11" s="17" t="s">
        <v>100</v>
      </c>
      <c r="C11" s="17" t="s">
        <v>92</v>
      </c>
      <c r="D11" s="17">
        <v>5</v>
      </c>
      <c r="E11" s="17" t="s">
        <v>93</v>
      </c>
      <c r="F11" s="17">
        <v>2</v>
      </c>
      <c r="G11" s="17" t="str">
        <f t="shared" si="0"/>
        <v>M0111-A-5-2</v>
      </c>
      <c r="H11" s="17">
        <v>11.1</v>
      </c>
      <c r="I11" s="17">
        <v>12.05</v>
      </c>
    </row>
    <row r="12" spans="1:9">
      <c r="A12" s="17">
        <v>501</v>
      </c>
      <c r="B12" s="17" t="s">
        <v>100</v>
      </c>
      <c r="C12" s="17" t="s">
        <v>92</v>
      </c>
      <c r="D12" s="17">
        <v>6</v>
      </c>
      <c r="E12" s="17" t="s">
        <v>93</v>
      </c>
      <c r="F12" s="17">
        <v>1</v>
      </c>
      <c r="G12" s="17" t="str">
        <f t="shared" si="0"/>
        <v>M0111-A-6-1</v>
      </c>
      <c r="H12" s="17">
        <v>11.7</v>
      </c>
      <c r="I12" s="17">
        <v>13.2</v>
      </c>
    </row>
    <row r="13" spans="1:9">
      <c r="A13" s="17">
        <v>501</v>
      </c>
      <c r="B13" s="17" t="s">
        <v>100</v>
      </c>
      <c r="C13" s="17" t="s">
        <v>92</v>
      </c>
      <c r="D13" s="17">
        <v>6</v>
      </c>
      <c r="E13" s="17" t="s">
        <v>93</v>
      </c>
      <c r="F13" s="17">
        <v>2</v>
      </c>
      <c r="G13" s="17" t="str">
        <f t="shared" si="0"/>
        <v>M0111-A-6-2</v>
      </c>
      <c r="H13" s="17">
        <v>13.2</v>
      </c>
      <c r="I13" s="17">
        <v>13.94</v>
      </c>
    </row>
    <row r="14" spans="1:9">
      <c r="A14" s="17">
        <v>501</v>
      </c>
      <c r="B14" s="17" t="s">
        <v>100</v>
      </c>
      <c r="C14" s="17" t="s">
        <v>92</v>
      </c>
      <c r="D14" s="17">
        <v>7</v>
      </c>
      <c r="E14" s="17" t="s">
        <v>93</v>
      </c>
      <c r="F14" s="17">
        <v>1</v>
      </c>
      <c r="G14" s="17" t="str">
        <f t="shared" si="0"/>
        <v>M0111-A-7-1</v>
      </c>
      <c r="H14" s="17">
        <v>13.94</v>
      </c>
      <c r="I14" s="17">
        <v>14.17</v>
      </c>
    </row>
    <row r="15" spans="1:9">
      <c r="A15" s="17">
        <v>501</v>
      </c>
      <c r="B15" s="17" t="s">
        <v>100</v>
      </c>
      <c r="C15" s="17" t="s">
        <v>92</v>
      </c>
      <c r="D15" s="17">
        <v>8</v>
      </c>
      <c r="E15" s="17" t="s">
        <v>93</v>
      </c>
      <c r="F15" s="17">
        <v>1</v>
      </c>
      <c r="G15" s="17" t="str">
        <f t="shared" si="0"/>
        <v>M0111-A-8-1</v>
      </c>
      <c r="H15" s="17">
        <v>14.77</v>
      </c>
      <c r="I15" s="17">
        <v>14.77</v>
      </c>
    </row>
    <row r="16" spans="1:9">
      <c r="A16" s="17">
        <v>501</v>
      </c>
      <c r="B16" s="17" t="s">
        <v>100</v>
      </c>
      <c r="C16" s="17" t="s">
        <v>92</v>
      </c>
      <c r="D16" s="17">
        <v>9</v>
      </c>
      <c r="E16" s="17" t="s">
        <v>101</v>
      </c>
      <c r="F16" s="17">
        <v>1</v>
      </c>
      <c r="G16" s="17" t="str">
        <f t="shared" si="0"/>
        <v>M0111-A-9-1</v>
      </c>
      <c r="H16" s="17">
        <v>14.77</v>
      </c>
      <c r="I16" s="17">
        <v>15.05</v>
      </c>
    </row>
    <row r="17" spans="1:9">
      <c r="A17" s="17">
        <v>501</v>
      </c>
      <c r="B17" s="17" t="s">
        <v>100</v>
      </c>
      <c r="C17" s="17" t="s">
        <v>92</v>
      </c>
      <c r="D17" s="17">
        <v>10</v>
      </c>
      <c r="E17" s="17" t="s">
        <v>95</v>
      </c>
      <c r="F17" s="17">
        <v>1</v>
      </c>
      <c r="G17" s="17" t="str">
        <f t="shared" si="0"/>
        <v>M0111-A-10-1</v>
      </c>
      <c r="H17" s="17">
        <v>15.21</v>
      </c>
      <c r="I17" s="17">
        <v>16.54</v>
      </c>
    </row>
    <row r="18" spans="1:9">
      <c r="A18" s="17">
        <v>501</v>
      </c>
      <c r="B18" s="17" t="s">
        <v>100</v>
      </c>
      <c r="C18" s="17" t="s">
        <v>92</v>
      </c>
      <c r="D18" s="17">
        <v>11</v>
      </c>
      <c r="E18" s="17" t="s">
        <v>95</v>
      </c>
      <c r="F18" s="17">
        <v>1</v>
      </c>
      <c r="G18" s="17" t="str">
        <f t="shared" si="0"/>
        <v>M0111-A-11-1</v>
      </c>
      <c r="H18" s="17">
        <v>16.36</v>
      </c>
      <c r="I18" s="17">
        <v>16.84</v>
      </c>
    </row>
    <row r="19" spans="1:9">
      <c r="A19" s="17">
        <v>501</v>
      </c>
      <c r="B19" s="17" t="s">
        <v>100</v>
      </c>
      <c r="C19" s="17" t="s">
        <v>92</v>
      </c>
      <c r="D19" s="17">
        <v>12</v>
      </c>
      <c r="E19" s="17" t="s">
        <v>95</v>
      </c>
      <c r="F19" s="17">
        <v>1</v>
      </c>
      <c r="G19" s="17" t="str">
        <f t="shared" si="0"/>
        <v>M0111-A-12-1</v>
      </c>
      <c r="H19" s="17">
        <v>32.25</v>
      </c>
      <c r="I19" s="17">
        <v>33.020000000000003</v>
      </c>
    </row>
    <row r="20" spans="1:9">
      <c r="A20" s="17">
        <v>501</v>
      </c>
      <c r="B20" s="17" t="s">
        <v>100</v>
      </c>
      <c r="C20" s="17" t="s">
        <v>92</v>
      </c>
      <c r="D20" s="17">
        <v>13</v>
      </c>
      <c r="E20" s="17" t="s">
        <v>93</v>
      </c>
      <c r="F20" s="17">
        <v>1</v>
      </c>
      <c r="G20" s="17" t="str">
        <f t="shared" si="0"/>
        <v>M0111-A-13-1</v>
      </c>
      <c r="H20" s="17">
        <v>33.799999999999997</v>
      </c>
      <c r="I20" s="17">
        <v>34.9</v>
      </c>
    </row>
    <row r="21" spans="1:9">
      <c r="A21" s="17">
        <v>501</v>
      </c>
      <c r="B21" s="17" t="s">
        <v>100</v>
      </c>
      <c r="C21" s="17" t="s">
        <v>92</v>
      </c>
      <c r="D21" s="17">
        <v>13</v>
      </c>
      <c r="E21" s="17" t="s">
        <v>93</v>
      </c>
      <c r="F21" s="17">
        <v>2</v>
      </c>
      <c r="G21" s="17" t="str">
        <f t="shared" si="0"/>
        <v>M0111-A-13-2</v>
      </c>
      <c r="H21" s="17">
        <v>34.9</v>
      </c>
      <c r="I21" s="17">
        <v>35.35</v>
      </c>
    </row>
    <row r="22" spans="1:9">
      <c r="A22" s="17">
        <v>501</v>
      </c>
      <c r="B22" s="17" t="s">
        <v>100</v>
      </c>
      <c r="C22" s="17" t="s">
        <v>92</v>
      </c>
      <c r="D22" s="17">
        <v>14</v>
      </c>
      <c r="E22" s="17" t="s">
        <v>93</v>
      </c>
      <c r="F22" s="17">
        <v>1</v>
      </c>
      <c r="G22" s="17" t="str">
        <f t="shared" si="0"/>
        <v>M0111-A-14-1</v>
      </c>
      <c r="H22" s="17">
        <v>33.35</v>
      </c>
      <c r="I22" s="17">
        <v>34.85</v>
      </c>
    </row>
    <row r="23" spans="1:9">
      <c r="A23" s="17">
        <v>501</v>
      </c>
      <c r="B23" s="17" t="s">
        <v>100</v>
      </c>
      <c r="C23" s="17" t="s">
        <v>92</v>
      </c>
      <c r="D23" s="17">
        <v>14</v>
      </c>
      <c r="E23" s="17" t="s">
        <v>93</v>
      </c>
      <c r="F23" s="17">
        <v>2</v>
      </c>
      <c r="G23" s="17" t="str">
        <f t="shared" si="0"/>
        <v>M0111-A-14-2</v>
      </c>
      <c r="H23" s="17">
        <v>34.85</v>
      </c>
      <c r="I23" s="17">
        <v>36.119999999999997</v>
      </c>
    </row>
    <row r="24" spans="1:9">
      <c r="A24" s="17">
        <v>501</v>
      </c>
      <c r="B24" s="17" t="s">
        <v>100</v>
      </c>
      <c r="C24" s="17" t="s">
        <v>92</v>
      </c>
      <c r="D24" s="17">
        <v>15</v>
      </c>
      <c r="E24" s="17" t="s">
        <v>93</v>
      </c>
      <c r="F24" s="17">
        <v>1</v>
      </c>
      <c r="G24" s="17" t="str">
        <f t="shared" si="0"/>
        <v>M0111-A-15-1</v>
      </c>
      <c r="H24" s="17">
        <v>38.119999999999997</v>
      </c>
      <c r="I24" s="17">
        <v>39.630000000000003</v>
      </c>
    </row>
    <row r="25" spans="1:9">
      <c r="A25" s="17">
        <v>501</v>
      </c>
      <c r="B25" s="17" t="s">
        <v>100</v>
      </c>
      <c r="C25" s="17" t="s">
        <v>92</v>
      </c>
      <c r="D25" s="17">
        <v>15</v>
      </c>
      <c r="E25" s="17" t="s">
        <v>93</v>
      </c>
      <c r="F25" s="17">
        <v>2</v>
      </c>
      <c r="G25" s="17" t="str">
        <f t="shared" si="0"/>
        <v>M0111-A-15-2</v>
      </c>
      <c r="H25" s="17">
        <v>39.630000000000003</v>
      </c>
      <c r="I25" s="17">
        <v>40.450000000000003</v>
      </c>
    </row>
    <row r="26" spans="1:9">
      <c r="A26" s="17">
        <v>501</v>
      </c>
      <c r="B26" s="17" t="s">
        <v>100</v>
      </c>
      <c r="C26" s="17" t="s">
        <v>92</v>
      </c>
      <c r="D26" s="17">
        <v>16</v>
      </c>
      <c r="E26" s="17" t="s">
        <v>93</v>
      </c>
      <c r="F26" s="17">
        <v>1</v>
      </c>
      <c r="G26" s="17" t="str">
        <f t="shared" si="0"/>
        <v>M0111-A-16-1</v>
      </c>
      <c r="H26" s="17">
        <v>40.450000000000003</v>
      </c>
      <c r="I26" s="17">
        <v>41.19</v>
      </c>
    </row>
    <row r="27" spans="1:9">
      <c r="A27" s="17">
        <v>501</v>
      </c>
      <c r="B27" s="17" t="s">
        <v>100</v>
      </c>
      <c r="C27" s="17" t="s">
        <v>92</v>
      </c>
      <c r="D27" s="17">
        <v>17</v>
      </c>
      <c r="E27" s="17" t="s">
        <v>93</v>
      </c>
      <c r="F27" s="17">
        <v>1</v>
      </c>
      <c r="G27" s="17" t="str">
        <f t="shared" si="0"/>
        <v>M0111-A-17-1</v>
      </c>
      <c r="H27" s="17">
        <v>41.19</v>
      </c>
      <c r="I27" s="17">
        <v>42.69</v>
      </c>
    </row>
    <row r="28" spans="1:9">
      <c r="A28" s="17">
        <v>501</v>
      </c>
      <c r="B28" s="17" t="s">
        <v>100</v>
      </c>
      <c r="C28" s="17" t="s">
        <v>92</v>
      </c>
      <c r="D28" s="17">
        <v>17</v>
      </c>
      <c r="E28" s="17" t="s">
        <v>93</v>
      </c>
      <c r="F28" s="17">
        <v>2</v>
      </c>
      <c r="G28" s="17" t="str">
        <f t="shared" si="0"/>
        <v>M0111-A-17-2</v>
      </c>
      <c r="H28" s="17">
        <v>42.69</v>
      </c>
      <c r="I28" s="17">
        <v>43.32</v>
      </c>
    </row>
    <row r="29" spans="1:9">
      <c r="A29" s="17">
        <v>501</v>
      </c>
      <c r="B29" s="17" t="s">
        <v>100</v>
      </c>
      <c r="C29" s="17" t="s">
        <v>92</v>
      </c>
      <c r="D29" s="17">
        <v>18</v>
      </c>
      <c r="E29" s="17" t="s">
        <v>93</v>
      </c>
      <c r="F29" s="17">
        <v>1</v>
      </c>
      <c r="G29" s="17" t="str">
        <f t="shared" si="0"/>
        <v>M0111-A-18-1</v>
      </c>
      <c r="H29" s="17">
        <v>43.32</v>
      </c>
      <c r="I29" s="17">
        <v>43.83</v>
      </c>
    </row>
    <row r="30" spans="1:9">
      <c r="A30" s="17">
        <v>501</v>
      </c>
      <c r="B30" s="17" t="s">
        <v>100</v>
      </c>
      <c r="C30" s="17" t="s">
        <v>92</v>
      </c>
      <c r="D30" s="17">
        <v>19</v>
      </c>
      <c r="E30" s="17" t="s">
        <v>93</v>
      </c>
      <c r="F30" s="17">
        <v>1</v>
      </c>
      <c r="G30" s="17" t="str">
        <f t="shared" si="0"/>
        <v>M0111-A-19-1</v>
      </c>
      <c r="H30" s="17">
        <v>43.83</v>
      </c>
      <c r="I30" s="17">
        <v>45.33</v>
      </c>
    </row>
    <row r="31" spans="1:9">
      <c r="A31" s="17">
        <v>501</v>
      </c>
      <c r="B31" s="17" t="s">
        <v>100</v>
      </c>
      <c r="C31" s="17" t="s">
        <v>92</v>
      </c>
      <c r="D31" s="17">
        <v>19</v>
      </c>
      <c r="E31" s="17" t="s">
        <v>93</v>
      </c>
      <c r="F31" s="17">
        <v>2</v>
      </c>
      <c r="G31" s="17" t="str">
        <f t="shared" si="0"/>
        <v>M0111-A-19-2</v>
      </c>
      <c r="H31" s="17">
        <v>45.33</v>
      </c>
      <c r="I31" s="17">
        <v>46.2</v>
      </c>
    </row>
    <row r="32" spans="1:9">
      <c r="A32" s="17">
        <v>501</v>
      </c>
      <c r="B32" s="17" t="s">
        <v>100</v>
      </c>
      <c r="C32" s="17" t="s">
        <v>92</v>
      </c>
      <c r="D32" s="17">
        <v>20</v>
      </c>
      <c r="E32" s="17" t="s">
        <v>93</v>
      </c>
      <c r="F32" s="17">
        <v>1</v>
      </c>
      <c r="G32" s="17" t="str">
        <f t="shared" si="0"/>
        <v>M0111-A-20-1</v>
      </c>
      <c r="H32" s="17">
        <v>46.2</v>
      </c>
      <c r="I32" s="17">
        <v>47.7</v>
      </c>
    </row>
    <row r="33" spans="1:9">
      <c r="A33" s="17">
        <v>501</v>
      </c>
      <c r="B33" s="17" t="s">
        <v>100</v>
      </c>
      <c r="C33" s="17" t="s">
        <v>92</v>
      </c>
      <c r="D33" s="17">
        <v>20</v>
      </c>
      <c r="E33" s="17" t="s">
        <v>93</v>
      </c>
      <c r="F33" s="17">
        <v>2</v>
      </c>
      <c r="G33" s="17" t="str">
        <f t="shared" si="0"/>
        <v>M0111-A-20-2</v>
      </c>
      <c r="H33" s="17">
        <v>47.7</v>
      </c>
      <c r="I33" s="17">
        <v>48.67</v>
      </c>
    </row>
    <row r="34" spans="1:9">
      <c r="A34" s="17">
        <v>501</v>
      </c>
      <c r="B34" s="17" t="s">
        <v>100</v>
      </c>
      <c r="C34" s="17" t="s">
        <v>92</v>
      </c>
      <c r="D34" s="17">
        <v>21</v>
      </c>
      <c r="E34" s="17" t="s">
        <v>93</v>
      </c>
      <c r="F34" s="17">
        <v>1</v>
      </c>
      <c r="G34" s="17" t="str">
        <f t="shared" si="0"/>
        <v>M0111-A-21-1</v>
      </c>
      <c r="H34" s="17">
        <v>48.67</v>
      </c>
      <c r="I34" s="17">
        <v>48.77</v>
      </c>
    </row>
    <row r="35" spans="1:9">
      <c r="A35" s="17">
        <v>501</v>
      </c>
      <c r="B35" s="17" t="s">
        <v>100</v>
      </c>
      <c r="C35" s="17" t="s">
        <v>92</v>
      </c>
      <c r="D35" s="17">
        <v>21</v>
      </c>
      <c r="E35" s="17" t="s">
        <v>93</v>
      </c>
      <c r="F35" s="17">
        <v>2</v>
      </c>
      <c r="G35" s="17" t="str">
        <f t="shared" si="0"/>
        <v>M0111-A-21-2</v>
      </c>
      <c r="H35" s="17">
        <v>48.77</v>
      </c>
      <c r="I35" s="17">
        <v>50.08</v>
      </c>
    </row>
    <row r="36" spans="1:9">
      <c r="A36" s="17">
        <v>501</v>
      </c>
      <c r="B36" s="17" t="s">
        <v>100</v>
      </c>
      <c r="C36" s="17" t="s">
        <v>92</v>
      </c>
      <c r="D36" s="17">
        <v>21</v>
      </c>
      <c r="E36" s="17" t="s">
        <v>93</v>
      </c>
      <c r="F36" s="17">
        <v>3</v>
      </c>
      <c r="G36" s="17" t="str">
        <f t="shared" si="0"/>
        <v>M0111-A-21-3</v>
      </c>
      <c r="H36" s="17">
        <v>50.08</v>
      </c>
      <c r="I36" s="17">
        <v>50.9</v>
      </c>
    </row>
    <row r="37" spans="1:9">
      <c r="A37" s="17">
        <v>501</v>
      </c>
      <c r="B37" s="17" t="s">
        <v>100</v>
      </c>
      <c r="C37" s="17" t="s">
        <v>92</v>
      </c>
      <c r="D37" s="17">
        <v>22</v>
      </c>
      <c r="E37" s="17" t="s">
        <v>93</v>
      </c>
      <c r="F37" s="17">
        <v>1</v>
      </c>
      <c r="G37" s="17" t="str">
        <f t="shared" si="0"/>
        <v>M0111-A-22-1</v>
      </c>
      <c r="H37" s="17">
        <v>50.9</v>
      </c>
      <c r="I37" s="17">
        <v>51.07</v>
      </c>
    </row>
    <row r="38" spans="1:9">
      <c r="A38" s="17">
        <v>501</v>
      </c>
      <c r="B38" s="17" t="s">
        <v>100</v>
      </c>
      <c r="C38" s="17" t="s">
        <v>92</v>
      </c>
      <c r="D38" s="17">
        <v>22</v>
      </c>
      <c r="E38" s="17" t="s">
        <v>93</v>
      </c>
      <c r="F38" s="17">
        <v>2</v>
      </c>
      <c r="G38" s="17" t="str">
        <f t="shared" si="0"/>
        <v>M0111-A-22-2</v>
      </c>
      <c r="H38" s="17">
        <v>51.07</v>
      </c>
      <c r="I38" s="17">
        <v>52.42</v>
      </c>
    </row>
    <row r="39" spans="1:9">
      <c r="A39" s="17">
        <v>501</v>
      </c>
      <c r="B39" s="17" t="s">
        <v>100</v>
      </c>
      <c r="C39" s="17" t="s">
        <v>92</v>
      </c>
      <c r="D39" s="17">
        <v>23</v>
      </c>
      <c r="E39" s="17" t="s">
        <v>93</v>
      </c>
      <c r="F39" s="17">
        <v>1</v>
      </c>
      <c r="G39" s="17" t="str">
        <f t="shared" si="0"/>
        <v>M0111-A-23-1</v>
      </c>
      <c r="H39" s="17">
        <v>52.42</v>
      </c>
      <c r="I39" s="17">
        <v>53.92</v>
      </c>
    </row>
    <row r="40" spans="1:9">
      <c r="A40" s="17">
        <v>501</v>
      </c>
      <c r="B40" s="17" t="s">
        <v>100</v>
      </c>
      <c r="C40" s="17" t="s">
        <v>92</v>
      </c>
      <c r="D40" s="17">
        <v>23</v>
      </c>
      <c r="E40" s="17" t="s">
        <v>93</v>
      </c>
      <c r="F40" s="17">
        <v>2</v>
      </c>
      <c r="G40" s="17" t="str">
        <f t="shared" si="0"/>
        <v>M0111-A-23-2</v>
      </c>
      <c r="H40" s="17">
        <v>53.92</v>
      </c>
      <c r="I40" s="17">
        <v>54.92</v>
      </c>
    </row>
    <row r="41" spans="1:9">
      <c r="A41" s="17">
        <v>501</v>
      </c>
      <c r="B41" s="17" t="s">
        <v>100</v>
      </c>
      <c r="C41" s="17" t="s">
        <v>92</v>
      </c>
      <c r="D41" s="17">
        <v>24</v>
      </c>
      <c r="E41" s="17" t="s">
        <v>93</v>
      </c>
      <c r="F41" s="17">
        <v>1</v>
      </c>
      <c r="G41" s="17" t="str">
        <f t="shared" si="0"/>
        <v>M0111-A-24-1</v>
      </c>
      <c r="H41" s="17">
        <v>54.92</v>
      </c>
      <c r="I41" s="17">
        <v>55.92</v>
      </c>
    </row>
    <row r="42" spans="1:9">
      <c r="A42" s="17">
        <v>501</v>
      </c>
      <c r="B42" s="17" t="s">
        <v>100</v>
      </c>
      <c r="C42" s="17" t="s">
        <v>92</v>
      </c>
      <c r="D42" s="17">
        <v>24</v>
      </c>
      <c r="E42" s="17" t="s">
        <v>93</v>
      </c>
      <c r="F42" s="17">
        <v>2</v>
      </c>
      <c r="G42" s="17" t="str">
        <f t="shared" si="0"/>
        <v>M0111-A-24-2</v>
      </c>
      <c r="H42" s="17">
        <v>55.92</v>
      </c>
      <c r="I42" s="17">
        <v>56.66</v>
      </c>
    </row>
    <row r="43" spans="1:9">
      <c r="A43" s="17">
        <v>501</v>
      </c>
      <c r="B43" s="17" t="s">
        <v>100</v>
      </c>
      <c r="C43" s="17" t="s">
        <v>92</v>
      </c>
      <c r="D43" s="17">
        <v>25</v>
      </c>
      <c r="E43" s="17" t="s">
        <v>93</v>
      </c>
      <c r="F43" s="17">
        <v>1</v>
      </c>
      <c r="G43" s="17" t="str">
        <f t="shared" si="0"/>
        <v>M0111-A-25-1</v>
      </c>
      <c r="H43" s="17">
        <v>56.66</v>
      </c>
      <c r="I43" s="17">
        <v>58.17</v>
      </c>
    </row>
    <row r="44" spans="1:9">
      <c r="A44" s="17">
        <v>501</v>
      </c>
      <c r="B44" s="17" t="s">
        <v>100</v>
      </c>
      <c r="C44" s="17" t="s">
        <v>92</v>
      </c>
      <c r="D44" s="17">
        <v>25</v>
      </c>
      <c r="E44" s="17" t="s">
        <v>93</v>
      </c>
      <c r="F44" s="17">
        <v>2</v>
      </c>
      <c r="G44" s="17" t="str">
        <f t="shared" si="0"/>
        <v>M0111-A-25-2</v>
      </c>
      <c r="H44" s="17">
        <v>58.17</v>
      </c>
      <c r="I44" s="17">
        <v>58.88</v>
      </c>
    </row>
    <row r="45" spans="1:9">
      <c r="A45" s="17">
        <v>501</v>
      </c>
      <c r="B45" s="17" t="s">
        <v>100</v>
      </c>
      <c r="C45" s="17" t="s">
        <v>92</v>
      </c>
      <c r="D45" s="17">
        <v>26</v>
      </c>
      <c r="E45" s="17" t="s">
        <v>93</v>
      </c>
      <c r="F45" s="17">
        <v>1</v>
      </c>
      <c r="G45" s="17" t="str">
        <f t="shared" si="0"/>
        <v>M0111-A-26-1</v>
      </c>
      <c r="H45" s="17">
        <v>58.88</v>
      </c>
      <c r="I45" s="17">
        <v>60.39</v>
      </c>
    </row>
    <row r="46" spans="1:9">
      <c r="A46" s="17">
        <v>501</v>
      </c>
      <c r="B46" s="17" t="s">
        <v>100</v>
      </c>
      <c r="C46" s="17" t="s">
        <v>92</v>
      </c>
      <c r="D46" s="17">
        <v>26</v>
      </c>
      <c r="E46" s="17" t="s">
        <v>93</v>
      </c>
      <c r="F46" s="17">
        <v>2</v>
      </c>
      <c r="G46" s="17" t="str">
        <f t="shared" si="0"/>
        <v>M0111-A-26-2</v>
      </c>
      <c r="H46" s="17">
        <v>60.39</v>
      </c>
      <c r="I46" s="17">
        <v>61.9</v>
      </c>
    </row>
    <row r="47" spans="1:9">
      <c r="A47" s="17">
        <v>501</v>
      </c>
      <c r="B47" s="17" t="s">
        <v>100</v>
      </c>
      <c r="C47" s="17" t="s">
        <v>92</v>
      </c>
      <c r="D47" s="17">
        <v>27</v>
      </c>
      <c r="E47" s="17" t="s">
        <v>93</v>
      </c>
      <c r="F47" s="17">
        <v>1</v>
      </c>
      <c r="G47" s="17" t="str">
        <f t="shared" si="0"/>
        <v>M0111-A-27-1</v>
      </c>
      <c r="H47" s="17">
        <v>61.2</v>
      </c>
      <c r="I47" s="17">
        <v>62.7</v>
      </c>
    </row>
    <row r="48" spans="1:9">
      <c r="A48" s="17">
        <v>501</v>
      </c>
      <c r="B48" s="17" t="s">
        <v>100</v>
      </c>
      <c r="C48" s="17" t="s">
        <v>92</v>
      </c>
      <c r="D48" s="17">
        <v>27</v>
      </c>
      <c r="E48" s="17" t="s">
        <v>93</v>
      </c>
      <c r="F48" s="17">
        <v>2</v>
      </c>
      <c r="G48" s="17" t="str">
        <f t="shared" si="0"/>
        <v>M0111-A-27-2</v>
      </c>
      <c r="H48" s="17">
        <v>62.7</v>
      </c>
      <c r="I48" s="17">
        <v>64.2</v>
      </c>
    </row>
    <row r="49" spans="1:9">
      <c r="A49" s="17">
        <v>501</v>
      </c>
      <c r="B49" s="17" t="s">
        <v>100</v>
      </c>
      <c r="C49" s="17" t="s">
        <v>92</v>
      </c>
      <c r="D49" s="17">
        <v>28</v>
      </c>
      <c r="E49" s="17" t="s">
        <v>93</v>
      </c>
      <c r="F49" s="17">
        <v>1</v>
      </c>
      <c r="G49" s="17" t="str">
        <f t="shared" si="0"/>
        <v>M0111-A-28-1</v>
      </c>
      <c r="H49" s="17">
        <v>63.38</v>
      </c>
      <c r="I49" s="17">
        <v>63.76</v>
      </c>
    </row>
    <row r="50" spans="1:9">
      <c r="A50" s="17">
        <v>501</v>
      </c>
      <c r="B50" s="17" t="s">
        <v>100</v>
      </c>
      <c r="C50" s="17" t="s">
        <v>92</v>
      </c>
      <c r="D50" s="17">
        <v>29</v>
      </c>
      <c r="E50" s="17" t="s">
        <v>93</v>
      </c>
      <c r="F50" s="17">
        <v>1</v>
      </c>
      <c r="G50" s="17" t="str">
        <f t="shared" si="0"/>
        <v>M0111-A-29-1</v>
      </c>
      <c r="H50" s="17">
        <v>63.38</v>
      </c>
      <c r="I50" s="17">
        <v>63.65</v>
      </c>
    </row>
    <row r="51" spans="1:9">
      <c r="A51" s="17">
        <v>501</v>
      </c>
      <c r="B51" s="17" t="s">
        <v>100</v>
      </c>
      <c r="C51" s="17" t="s">
        <v>94</v>
      </c>
      <c r="D51" s="17">
        <v>1</v>
      </c>
      <c r="E51" s="17" t="s">
        <v>93</v>
      </c>
      <c r="F51" s="17">
        <v>1</v>
      </c>
      <c r="G51" s="17" t="str">
        <f t="shared" si="0"/>
        <v>M0111-B-1-1</v>
      </c>
      <c r="H51" s="17">
        <v>62</v>
      </c>
      <c r="I51" s="17">
        <v>63.5</v>
      </c>
    </row>
    <row r="52" spans="1:9">
      <c r="A52" s="17">
        <v>501</v>
      </c>
      <c r="B52" s="17" t="s">
        <v>100</v>
      </c>
      <c r="C52" s="17" t="s">
        <v>94</v>
      </c>
      <c r="D52" s="17">
        <v>1</v>
      </c>
      <c r="E52" s="17" t="s">
        <v>93</v>
      </c>
      <c r="F52" s="17">
        <v>2</v>
      </c>
      <c r="G52" s="17" t="str">
        <f t="shared" si="0"/>
        <v>M0111-B-1-2</v>
      </c>
      <c r="H52" s="17">
        <v>63.5</v>
      </c>
      <c r="I52" s="17">
        <v>64.239999999999995</v>
      </c>
    </row>
    <row r="53" spans="1:9">
      <c r="A53" s="17">
        <v>501</v>
      </c>
      <c r="B53" s="17" t="s">
        <v>100</v>
      </c>
      <c r="C53" s="17" t="s">
        <v>94</v>
      </c>
      <c r="D53" s="17">
        <v>2</v>
      </c>
      <c r="E53" s="17" t="s">
        <v>93</v>
      </c>
      <c r="F53" s="17">
        <v>1</v>
      </c>
      <c r="G53" s="17" t="str">
        <f t="shared" si="0"/>
        <v>M0111-B-2-1</v>
      </c>
      <c r="H53" s="17">
        <v>64.14</v>
      </c>
      <c r="I53" s="17">
        <v>65.14</v>
      </c>
    </row>
    <row r="54" spans="1:9">
      <c r="A54" s="17">
        <v>501</v>
      </c>
      <c r="B54" s="17" t="s">
        <v>100</v>
      </c>
      <c r="C54" s="17" t="s">
        <v>94</v>
      </c>
      <c r="D54" s="17">
        <v>2</v>
      </c>
      <c r="E54" s="17" t="s">
        <v>93</v>
      </c>
      <c r="F54" s="17">
        <v>2</v>
      </c>
      <c r="G54" s="17" t="str">
        <f t="shared" si="0"/>
        <v>M0111-B-2-2</v>
      </c>
      <c r="H54" s="17">
        <v>65.14</v>
      </c>
      <c r="I54" s="17">
        <v>66.06</v>
      </c>
    </row>
    <row r="55" spans="1:9">
      <c r="A55" s="17">
        <v>501</v>
      </c>
      <c r="B55" s="17" t="s">
        <v>100</v>
      </c>
      <c r="C55" s="17" t="s">
        <v>94</v>
      </c>
      <c r="D55" s="17">
        <v>3</v>
      </c>
      <c r="E55" s="17" t="s">
        <v>93</v>
      </c>
      <c r="F55" s="17">
        <v>1</v>
      </c>
      <c r="G55" s="17" t="str">
        <f t="shared" si="0"/>
        <v>M0111-B-3-1</v>
      </c>
      <c r="H55" s="17">
        <v>66.06</v>
      </c>
      <c r="I55" s="17">
        <v>67.56</v>
      </c>
    </row>
    <row r="56" spans="1:9">
      <c r="A56" s="17">
        <v>501</v>
      </c>
      <c r="B56" s="17" t="s">
        <v>100</v>
      </c>
      <c r="C56" s="17" t="s">
        <v>94</v>
      </c>
      <c r="D56" s="17">
        <v>3</v>
      </c>
      <c r="E56" s="17" t="s">
        <v>93</v>
      </c>
      <c r="F56" s="17">
        <v>2</v>
      </c>
      <c r="G56" s="17" t="str">
        <f t="shared" si="0"/>
        <v>M0111-B-3-2</v>
      </c>
      <c r="H56" s="17">
        <v>67.56</v>
      </c>
      <c r="I56" s="17">
        <v>68.2</v>
      </c>
    </row>
    <row r="57" spans="1:9">
      <c r="A57" s="17">
        <v>501</v>
      </c>
      <c r="B57" s="17" t="s">
        <v>100</v>
      </c>
      <c r="C57" s="17" t="s">
        <v>94</v>
      </c>
      <c r="D57" s="17">
        <v>4</v>
      </c>
      <c r="E57" s="17" t="s">
        <v>93</v>
      </c>
      <c r="F57" s="17">
        <v>1</v>
      </c>
      <c r="G57" s="17" t="str">
        <f t="shared" si="0"/>
        <v>M0111-B-4-1</v>
      </c>
      <c r="H57" s="17">
        <v>68.2</v>
      </c>
      <c r="I57" s="17">
        <v>69.650000000000006</v>
      </c>
    </row>
    <row r="58" spans="1:9">
      <c r="A58" s="17">
        <v>501</v>
      </c>
      <c r="B58" s="17" t="s">
        <v>100</v>
      </c>
      <c r="C58" s="17" t="s">
        <v>94</v>
      </c>
      <c r="D58" s="17">
        <v>5</v>
      </c>
      <c r="E58" s="17" t="s">
        <v>93</v>
      </c>
      <c r="F58" s="17">
        <v>1</v>
      </c>
      <c r="G58" s="17" t="str">
        <f t="shared" si="0"/>
        <v>M0111-B-5-1</v>
      </c>
      <c r="H58" s="17">
        <v>69.650000000000006</v>
      </c>
      <c r="I58" s="17">
        <v>70.540000000000006</v>
      </c>
    </row>
    <row r="59" spans="1:9">
      <c r="A59" s="17">
        <v>501</v>
      </c>
      <c r="B59" s="17" t="s">
        <v>100</v>
      </c>
      <c r="C59" s="17" t="s">
        <v>94</v>
      </c>
      <c r="D59" s="17">
        <v>5</v>
      </c>
      <c r="E59" s="17" t="s">
        <v>93</v>
      </c>
      <c r="F59" s="17">
        <v>2</v>
      </c>
      <c r="G59" s="17" t="str">
        <f t="shared" si="0"/>
        <v>M0111-B-5-2</v>
      </c>
      <c r="H59" s="17">
        <v>70.540000000000006</v>
      </c>
      <c r="I59" s="17">
        <v>71.540000000000006</v>
      </c>
    </row>
    <row r="60" spans="1:9">
      <c r="A60" s="17">
        <v>501</v>
      </c>
      <c r="B60" s="17" t="s">
        <v>100</v>
      </c>
      <c r="C60" s="17" t="s">
        <v>94</v>
      </c>
      <c r="D60" s="17">
        <v>6</v>
      </c>
      <c r="E60" s="17" t="s">
        <v>93</v>
      </c>
      <c r="F60" s="17">
        <v>1</v>
      </c>
      <c r="G60" s="17" t="str">
        <f t="shared" si="0"/>
        <v>M0111-B-6-1</v>
      </c>
      <c r="H60" s="17">
        <v>71.540000000000006</v>
      </c>
      <c r="I60" s="17">
        <v>72.260000000000005</v>
      </c>
    </row>
    <row r="61" spans="1:9">
      <c r="A61" s="17">
        <v>501</v>
      </c>
      <c r="B61" s="17" t="s">
        <v>100</v>
      </c>
      <c r="C61" s="17" t="s">
        <v>94</v>
      </c>
      <c r="D61" s="17">
        <v>7</v>
      </c>
      <c r="E61" s="17" t="s">
        <v>93</v>
      </c>
      <c r="F61" s="17">
        <v>1</v>
      </c>
      <c r="G61" s="17" t="str">
        <f t="shared" si="0"/>
        <v>M0111-B-7-1</v>
      </c>
      <c r="H61" s="17">
        <v>72.260000000000005</v>
      </c>
      <c r="I61" s="17">
        <v>72.760000000000005</v>
      </c>
    </row>
    <row r="62" spans="1:9">
      <c r="A62" s="17">
        <v>501</v>
      </c>
      <c r="B62" s="17" t="s">
        <v>100</v>
      </c>
      <c r="C62" s="17" t="s">
        <v>94</v>
      </c>
      <c r="D62" s="17">
        <v>8</v>
      </c>
      <c r="E62" s="17" t="s">
        <v>101</v>
      </c>
      <c r="F62" s="17">
        <v>1</v>
      </c>
      <c r="G62" s="17" t="str">
        <f t="shared" si="0"/>
        <v>M0111-B-8-1</v>
      </c>
      <c r="H62" s="17">
        <v>72.760000000000005</v>
      </c>
      <c r="I62" s="17">
        <v>72.260000000000005</v>
      </c>
    </row>
    <row r="63" spans="1:9">
      <c r="A63" s="17">
        <v>501</v>
      </c>
      <c r="B63" s="17" t="s">
        <v>100</v>
      </c>
      <c r="C63" s="17" t="s">
        <v>94</v>
      </c>
      <c r="D63" s="17">
        <v>9</v>
      </c>
      <c r="E63" s="17" t="s">
        <v>95</v>
      </c>
      <c r="F63" s="17">
        <v>1</v>
      </c>
      <c r="G63" s="17" t="str">
        <f t="shared" si="0"/>
        <v>M0111-B-9-1</v>
      </c>
      <c r="H63" s="17">
        <v>72.760000000000005</v>
      </c>
      <c r="I63" s="17">
        <v>74.08</v>
      </c>
    </row>
    <row r="64" spans="1:9">
      <c r="A64" s="17">
        <v>501</v>
      </c>
      <c r="B64" s="17" t="s">
        <v>100</v>
      </c>
      <c r="C64" s="17" t="s">
        <v>94</v>
      </c>
      <c r="D64" s="17">
        <v>11</v>
      </c>
      <c r="E64" s="17" t="s">
        <v>93</v>
      </c>
      <c r="F64" s="17">
        <v>1</v>
      </c>
      <c r="G64" s="17" t="str">
        <f t="shared" si="0"/>
        <v>M0111-B-11-1</v>
      </c>
      <c r="H64" s="17">
        <v>76.400000000000006</v>
      </c>
      <c r="I64" s="17">
        <v>76.69</v>
      </c>
    </row>
    <row r="65" spans="1:9">
      <c r="A65" s="17">
        <v>501</v>
      </c>
      <c r="B65" s="17" t="s">
        <v>100</v>
      </c>
      <c r="C65" s="17" t="s">
        <v>94</v>
      </c>
      <c r="D65" s="17">
        <v>12</v>
      </c>
      <c r="E65" s="17" t="s">
        <v>95</v>
      </c>
      <c r="F65" s="17">
        <v>1</v>
      </c>
      <c r="G65" s="17" t="str">
        <f t="shared" si="0"/>
        <v>M0111-B-12-1</v>
      </c>
      <c r="H65" s="17">
        <v>76.69</v>
      </c>
      <c r="I65" s="17">
        <v>77.38</v>
      </c>
    </row>
    <row r="66" spans="1:9">
      <c r="A66" s="17">
        <v>501</v>
      </c>
      <c r="B66" s="17" t="s">
        <v>100</v>
      </c>
      <c r="C66" s="17" t="s">
        <v>94</v>
      </c>
      <c r="D66" s="17">
        <v>12</v>
      </c>
      <c r="E66" s="17" t="s">
        <v>95</v>
      </c>
      <c r="F66" s="17">
        <v>2</v>
      </c>
      <c r="G66" s="17" t="str">
        <f t="shared" si="0"/>
        <v>M0111-B-12-2</v>
      </c>
      <c r="H66" s="17">
        <v>77.38</v>
      </c>
      <c r="I66" s="17">
        <v>77.510000000000005</v>
      </c>
    </row>
    <row r="67" spans="1:9">
      <c r="A67" s="17">
        <v>501</v>
      </c>
      <c r="B67" s="17" t="s">
        <v>100</v>
      </c>
      <c r="C67" s="17" t="s">
        <v>94</v>
      </c>
      <c r="D67" s="17">
        <v>13</v>
      </c>
      <c r="E67" s="17" t="s">
        <v>95</v>
      </c>
      <c r="F67" s="17">
        <v>1</v>
      </c>
      <c r="G67" s="17" t="str">
        <f t="shared" ref="G67:G130" si="1">CONCATENATE(B67, "-",C67, "-", D67, "-", F67)</f>
        <v>M0111-B-13-1</v>
      </c>
      <c r="H67" s="17">
        <v>79.599999999999994</v>
      </c>
      <c r="I67" s="17">
        <v>80.5</v>
      </c>
    </row>
    <row r="68" spans="1:9">
      <c r="A68" s="17">
        <v>501</v>
      </c>
      <c r="B68" s="17" t="s">
        <v>100</v>
      </c>
      <c r="C68" s="17" t="s">
        <v>94</v>
      </c>
      <c r="D68" s="17">
        <v>13</v>
      </c>
      <c r="E68" s="17" t="s">
        <v>95</v>
      </c>
      <c r="F68" s="17">
        <v>2</v>
      </c>
      <c r="G68" s="17" t="str">
        <f t="shared" si="1"/>
        <v>M0111-B-13-2</v>
      </c>
      <c r="H68" s="17">
        <v>80.5</v>
      </c>
      <c r="I68" s="17">
        <v>80.66</v>
      </c>
    </row>
    <row r="69" spans="1:9">
      <c r="A69" s="17">
        <v>501</v>
      </c>
      <c r="B69" s="17" t="s">
        <v>100</v>
      </c>
      <c r="C69" s="17" t="s">
        <v>94</v>
      </c>
      <c r="D69" s="17">
        <v>14</v>
      </c>
      <c r="E69" s="17" t="s">
        <v>95</v>
      </c>
      <c r="F69" s="17">
        <v>1</v>
      </c>
      <c r="G69" s="17" t="str">
        <f t="shared" si="1"/>
        <v>M0111-B-14-1</v>
      </c>
      <c r="H69" s="17">
        <v>82.6</v>
      </c>
      <c r="I69" s="17">
        <v>84.08</v>
      </c>
    </row>
    <row r="70" spans="1:9">
      <c r="A70" s="17">
        <v>501</v>
      </c>
      <c r="B70" s="17" t="s">
        <v>100</v>
      </c>
      <c r="C70" s="17" t="s">
        <v>94</v>
      </c>
      <c r="D70" s="17">
        <v>15</v>
      </c>
      <c r="E70" s="17" t="s">
        <v>95</v>
      </c>
      <c r="F70" s="17">
        <v>1</v>
      </c>
      <c r="G70" s="17" t="str">
        <f t="shared" si="1"/>
        <v>M0111-B-15-1</v>
      </c>
      <c r="H70" s="17">
        <v>84.6</v>
      </c>
      <c r="I70" s="17">
        <v>86.1</v>
      </c>
    </row>
    <row r="71" spans="1:9">
      <c r="A71" s="17">
        <v>501</v>
      </c>
      <c r="B71" s="17" t="s">
        <v>100</v>
      </c>
      <c r="C71" s="17" t="s">
        <v>94</v>
      </c>
      <c r="D71" s="17">
        <v>15</v>
      </c>
      <c r="E71" s="17" t="s">
        <v>95</v>
      </c>
      <c r="F71" s="17">
        <v>2</v>
      </c>
      <c r="G71" s="17" t="str">
        <f t="shared" si="1"/>
        <v>M0111-B-15-2</v>
      </c>
      <c r="H71" s="17">
        <v>86.1</v>
      </c>
      <c r="I71" s="17">
        <v>86.82</v>
      </c>
    </row>
    <row r="72" spans="1:9">
      <c r="A72" s="17">
        <v>501</v>
      </c>
      <c r="B72" s="17" t="s">
        <v>100</v>
      </c>
      <c r="C72" s="17" t="s">
        <v>94</v>
      </c>
      <c r="D72" s="17">
        <v>16</v>
      </c>
      <c r="E72" s="17" t="s">
        <v>95</v>
      </c>
      <c r="F72" s="17">
        <v>1</v>
      </c>
      <c r="G72" s="17" t="str">
        <f t="shared" si="1"/>
        <v>M0111-B-16-1</v>
      </c>
      <c r="H72" s="17">
        <v>86.6</v>
      </c>
      <c r="I72" s="17">
        <v>88</v>
      </c>
    </row>
    <row r="73" spans="1:9">
      <c r="A73" s="17">
        <v>501</v>
      </c>
      <c r="B73" s="17" t="s">
        <v>100</v>
      </c>
      <c r="C73" s="17" t="s">
        <v>94</v>
      </c>
      <c r="D73" s="17">
        <v>17</v>
      </c>
      <c r="E73" s="17" t="s">
        <v>95</v>
      </c>
      <c r="F73" s="17">
        <v>1</v>
      </c>
      <c r="G73" s="17" t="str">
        <f t="shared" si="1"/>
        <v>M0111-B-17-1</v>
      </c>
      <c r="H73" s="17">
        <v>88.4</v>
      </c>
      <c r="I73" s="17">
        <v>89.4</v>
      </c>
    </row>
    <row r="74" spans="1:9">
      <c r="A74" s="17">
        <v>501</v>
      </c>
      <c r="B74" s="17" t="s">
        <v>100</v>
      </c>
      <c r="C74" s="17" t="s">
        <v>94</v>
      </c>
      <c r="D74" s="17">
        <v>17</v>
      </c>
      <c r="E74" s="17" t="s">
        <v>95</v>
      </c>
      <c r="F74" s="17">
        <v>2</v>
      </c>
      <c r="G74" s="17" t="str">
        <f t="shared" si="1"/>
        <v>M0111-B-17-2</v>
      </c>
      <c r="H74" s="17">
        <v>89.4</v>
      </c>
      <c r="I74" s="17">
        <v>90.4</v>
      </c>
    </row>
    <row r="75" spans="1:9">
      <c r="A75" s="17">
        <v>501</v>
      </c>
      <c r="B75" s="17" t="s">
        <v>100</v>
      </c>
      <c r="C75" s="17" t="s">
        <v>94</v>
      </c>
      <c r="D75" s="17">
        <v>18</v>
      </c>
      <c r="E75" s="17" t="s">
        <v>95</v>
      </c>
      <c r="F75" s="17">
        <v>1</v>
      </c>
      <c r="G75" s="17" t="str">
        <f t="shared" si="1"/>
        <v>M0111-B-18-1</v>
      </c>
      <c r="H75" s="17">
        <v>91.1</v>
      </c>
      <c r="I75" s="17">
        <v>92.56</v>
      </c>
    </row>
    <row r="76" spans="1:9">
      <c r="A76" s="17">
        <v>501</v>
      </c>
      <c r="B76" s="17" t="s">
        <v>100</v>
      </c>
      <c r="C76" s="17" t="s">
        <v>94</v>
      </c>
      <c r="D76" s="17">
        <v>19</v>
      </c>
      <c r="E76" s="17" t="s">
        <v>95</v>
      </c>
      <c r="F76" s="17">
        <v>1</v>
      </c>
      <c r="G76" s="17" t="str">
        <f t="shared" si="1"/>
        <v>M0111-B-19-1</v>
      </c>
      <c r="H76" s="17">
        <v>94.1</v>
      </c>
      <c r="I76" s="17">
        <v>94.49</v>
      </c>
    </row>
    <row r="77" spans="1:9">
      <c r="A77" s="17">
        <v>501</v>
      </c>
      <c r="B77" s="17" t="s">
        <v>100</v>
      </c>
      <c r="C77" s="17" t="s">
        <v>94</v>
      </c>
      <c r="D77" s="17">
        <v>21</v>
      </c>
      <c r="E77" s="17" t="s">
        <v>93</v>
      </c>
      <c r="F77" s="17">
        <v>1</v>
      </c>
      <c r="G77" s="17" t="str">
        <f t="shared" si="1"/>
        <v>M0111-B-21-1</v>
      </c>
      <c r="H77" s="17">
        <v>96.45</v>
      </c>
      <c r="I77" s="17">
        <v>97.95</v>
      </c>
    </row>
    <row r="78" spans="1:9">
      <c r="A78" s="17">
        <v>501</v>
      </c>
      <c r="B78" s="17" t="s">
        <v>100</v>
      </c>
      <c r="C78" s="17" t="s">
        <v>94</v>
      </c>
      <c r="D78" s="17">
        <v>21</v>
      </c>
      <c r="E78" s="17" t="s">
        <v>93</v>
      </c>
      <c r="F78" s="17">
        <v>2</v>
      </c>
      <c r="G78" s="17" t="str">
        <f t="shared" si="1"/>
        <v>M0111-B-21-2</v>
      </c>
      <c r="H78" s="17">
        <v>97.95</v>
      </c>
      <c r="I78" s="17">
        <v>98.76</v>
      </c>
    </row>
    <row r="79" spans="1:9">
      <c r="A79" s="17">
        <v>501</v>
      </c>
      <c r="B79" s="17" t="s">
        <v>100</v>
      </c>
      <c r="C79" s="17" t="s">
        <v>94</v>
      </c>
      <c r="D79" s="17">
        <v>22</v>
      </c>
      <c r="E79" s="17" t="s">
        <v>93</v>
      </c>
      <c r="F79" s="17">
        <v>1</v>
      </c>
      <c r="G79" s="17" t="str">
        <f t="shared" si="1"/>
        <v>M0111-B-22-1</v>
      </c>
      <c r="H79" s="17">
        <v>98.76</v>
      </c>
      <c r="I79" s="17">
        <v>99.76</v>
      </c>
    </row>
    <row r="80" spans="1:9">
      <c r="A80" s="17">
        <v>501</v>
      </c>
      <c r="B80" s="17" t="s">
        <v>100</v>
      </c>
      <c r="C80" s="17" t="s">
        <v>94</v>
      </c>
      <c r="D80" s="17">
        <v>22</v>
      </c>
      <c r="E80" s="17" t="s">
        <v>93</v>
      </c>
      <c r="F80" s="17">
        <v>2</v>
      </c>
      <c r="G80" s="17" t="str">
        <f t="shared" si="1"/>
        <v>M0111-B-22-2</v>
      </c>
      <c r="H80" s="17">
        <v>99.76</v>
      </c>
      <c r="I80" s="17">
        <v>100.54</v>
      </c>
    </row>
    <row r="81" spans="1:9">
      <c r="A81" s="17">
        <v>501</v>
      </c>
      <c r="B81" s="17" t="s">
        <v>100</v>
      </c>
      <c r="C81" s="17" t="s">
        <v>94</v>
      </c>
      <c r="D81" s="17">
        <v>23</v>
      </c>
      <c r="E81" s="17" t="s">
        <v>93</v>
      </c>
      <c r="F81" s="17">
        <v>1</v>
      </c>
      <c r="G81" s="17" t="str">
        <f t="shared" si="1"/>
        <v>M0111-B-23-1</v>
      </c>
      <c r="H81" s="17">
        <v>100.49</v>
      </c>
      <c r="I81" s="17">
        <v>101.75</v>
      </c>
    </row>
    <row r="82" spans="1:9">
      <c r="A82" s="17">
        <v>501</v>
      </c>
      <c r="B82" s="17" t="s">
        <v>100</v>
      </c>
      <c r="C82" s="17" t="s">
        <v>94</v>
      </c>
      <c r="D82" s="17">
        <v>23</v>
      </c>
      <c r="E82" s="17" t="s">
        <v>93</v>
      </c>
      <c r="F82" s="17">
        <v>2</v>
      </c>
      <c r="G82" s="17" t="str">
        <f t="shared" si="1"/>
        <v>M0111-B-23-2</v>
      </c>
      <c r="H82" s="17">
        <v>101.75</v>
      </c>
      <c r="I82" s="17">
        <v>101.84</v>
      </c>
    </row>
    <row r="83" spans="1:9">
      <c r="A83" s="17">
        <v>501</v>
      </c>
      <c r="B83" s="17" t="s">
        <v>100</v>
      </c>
      <c r="C83" s="17" t="s">
        <v>94</v>
      </c>
      <c r="D83" s="17">
        <v>24</v>
      </c>
      <c r="E83" s="17" t="s">
        <v>95</v>
      </c>
      <c r="F83" s="17">
        <v>1</v>
      </c>
      <c r="G83" s="17" t="str">
        <f t="shared" si="1"/>
        <v>M0111-B-24-1</v>
      </c>
      <c r="H83" s="17">
        <v>101.84</v>
      </c>
      <c r="I83" s="17">
        <v>102.91</v>
      </c>
    </row>
    <row r="84" spans="1:9">
      <c r="A84" s="17">
        <v>501</v>
      </c>
      <c r="B84" s="17" t="s">
        <v>100</v>
      </c>
      <c r="C84" s="17" t="s">
        <v>94</v>
      </c>
      <c r="D84" s="17">
        <v>24</v>
      </c>
      <c r="E84" s="17" t="s">
        <v>95</v>
      </c>
      <c r="F84" s="17">
        <v>2</v>
      </c>
      <c r="G84" s="17" t="str">
        <f t="shared" si="1"/>
        <v>M0111-B-24-2</v>
      </c>
      <c r="H84" s="17">
        <v>102.91</v>
      </c>
      <c r="I84" s="17">
        <v>103.98</v>
      </c>
    </row>
    <row r="85" spans="1:9">
      <c r="A85" s="17">
        <v>501</v>
      </c>
      <c r="B85" s="17" t="s">
        <v>100</v>
      </c>
      <c r="C85" s="17" t="s">
        <v>94</v>
      </c>
      <c r="D85" s="17">
        <v>25</v>
      </c>
      <c r="E85" s="17" t="s">
        <v>95</v>
      </c>
      <c r="F85" s="17">
        <v>1</v>
      </c>
      <c r="G85" s="17" t="str">
        <f t="shared" si="1"/>
        <v>M0111-B-25-1</v>
      </c>
      <c r="H85" s="17">
        <v>103.6</v>
      </c>
      <c r="I85" s="17">
        <v>103.75</v>
      </c>
    </row>
    <row r="86" spans="1:9">
      <c r="A86" s="17">
        <v>501</v>
      </c>
      <c r="B86" s="17" t="s">
        <v>100</v>
      </c>
      <c r="C86" s="17" t="s">
        <v>94</v>
      </c>
      <c r="D86" s="17">
        <v>26</v>
      </c>
      <c r="E86" s="17" t="s">
        <v>95</v>
      </c>
      <c r="F86" s="17">
        <v>1</v>
      </c>
      <c r="G86" s="17" t="str">
        <f t="shared" si="1"/>
        <v>M0111-B-26-1</v>
      </c>
      <c r="H86" s="17">
        <v>106.6</v>
      </c>
      <c r="I86" s="17">
        <v>108.1</v>
      </c>
    </row>
    <row r="87" spans="1:9">
      <c r="A87" s="17">
        <v>501</v>
      </c>
      <c r="B87" s="17" t="s">
        <v>100</v>
      </c>
      <c r="C87" s="17" t="s">
        <v>94</v>
      </c>
      <c r="D87" s="17">
        <v>26</v>
      </c>
      <c r="E87" s="17" t="s">
        <v>95</v>
      </c>
      <c r="F87" s="17">
        <v>2</v>
      </c>
      <c r="G87" s="17" t="str">
        <f t="shared" si="1"/>
        <v>M0111-B-26-2</v>
      </c>
      <c r="H87" s="17">
        <v>108.1</v>
      </c>
      <c r="I87" s="17">
        <v>109.06</v>
      </c>
    </row>
    <row r="88" spans="1:9">
      <c r="A88" s="17">
        <v>501</v>
      </c>
      <c r="B88" s="17" t="s">
        <v>100</v>
      </c>
      <c r="C88" s="17" t="s">
        <v>94</v>
      </c>
      <c r="D88" s="17">
        <v>27</v>
      </c>
      <c r="E88" s="17" t="s">
        <v>95</v>
      </c>
      <c r="F88" s="17">
        <v>1</v>
      </c>
      <c r="G88" s="17" t="str">
        <f t="shared" si="1"/>
        <v>M0111-B-27-1</v>
      </c>
      <c r="H88" s="17">
        <v>109.6</v>
      </c>
      <c r="I88" s="17">
        <v>111.1</v>
      </c>
    </row>
    <row r="89" spans="1:9">
      <c r="A89" s="17">
        <v>501</v>
      </c>
      <c r="B89" s="17" t="s">
        <v>100</v>
      </c>
      <c r="C89" s="17" t="s">
        <v>94</v>
      </c>
      <c r="D89" s="17">
        <v>27</v>
      </c>
      <c r="E89" s="17" t="s">
        <v>95</v>
      </c>
      <c r="F89" s="17">
        <v>2</v>
      </c>
      <c r="G89" s="17" t="str">
        <f t="shared" si="1"/>
        <v>M0111-B-27-2</v>
      </c>
      <c r="H89" s="17">
        <v>111.1</v>
      </c>
      <c r="I89" s="17">
        <v>112.39</v>
      </c>
    </row>
    <row r="90" spans="1:9">
      <c r="A90" s="17">
        <v>501</v>
      </c>
      <c r="B90" s="17" t="s">
        <v>100</v>
      </c>
      <c r="C90" s="17" t="s">
        <v>94</v>
      </c>
      <c r="D90" s="17">
        <v>28</v>
      </c>
      <c r="E90" s="17" t="s">
        <v>95</v>
      </c>
      <c r="F90" s="17">
        <v>1</v>
      </c>
      <c r="G90" s="17" t="str">
        <f t="shared" si="1"/>
        <v>M0111-B-28-1</v>
      </c>
      <c r="H90" s="17">
        <v>112.3</v>
      </c>
      <c r="I90" s="17">
        <v>113.8</v>
      </c>
    </row>
    <row r="91" spans="1:9">
      <c r="A91" s="17">
        <v>501</v>
      </c>
      <c r="B91" s="17" t="s">
        <v>100</v>
      </c>
      <c r="C91" s="17" t="s">
        <v>94</v>
      </c>
      <c r="D91" s="17">
        <v>28</v>
      </c>
      <c r="E91" s="17" t="s">
        <v>95</v>
      </c>
      <c r="F91" s="17">
        <v>2</v>
      </c>
      <c r="G91" s="17" t="str">
        <f t="shared" si="1"/>
        <v>M0111-B-28-2</v>
      </c>
      <c r="H91" s="17">
        <v>113.8</v>
      </c>
      <c r="I91" s="17">
        <v>115.25</v>
      </c>
    </row>
    <row r="92" spans="1:9">
      <c r="A92" s="17">
        <v>501</v>
      </c>
      <c r="B92" s="17" t="s">
        <v>100</v>
      </c>
      <c r="C92" s="17" t="s">
        <v>94</v>
      </c>
      <c r="D92" s="17">
        <v>29</v>
      </c>
      <c r="E92" s="17" t="s">
        <v>95</v>
      </c>
      <c r="F92" s="17">
        <v>1</v>
      </c>
      <c r="G92" s="17" t="str">
        <f t="shared" si="1"/>
        <v>M0111-B-29-1</v>
      </c>
      <c r="H92" s="17">
        <v>115.3</v>
      </c>
      <c r="I92" s="17">
        <v>116.81</v>
      </c>
    </row>
    <row r="93" spans="1:9">
      <c r="A93" s="17">
        <v>501</v>
      </c>
      <c r="B93" s="17" t="s">
        <v>100</v>
      </c>
      <c r="C93" s="17" t="s">
        <v>94</v>
      </c>
      <c r="D93" s="17">
        <v>29</v>
      </c>
      <c r="E93" s="17" t="s">
        <v>95</v>
      </c>
      <c r="F93" s="17">
        <v>2</v>
      </c>
      <c r="G93" s="17" t="str">
        <f t="shared" si="1"/>
        <v>M0111-B-29-2</v>
      </c>
      <c r="H93" s="17">
        <v>116.81</v>
      </c>
      <c r="I93" s="17">
        <v>117.81</v>
      </c>
    </row>
    <row r="94" spans="1:9">
      <c r="A94" s="17">
        <v>501</v>
      </c>
      <c r="B94" s="17" t="s">
        <v>100</v>
      </c>
      <c r="C94" s="17" t="s">
        <v>94</v>
      </c>
      <c r="D94" s="17">
        <v>29</v>
      </c>
      <c r="E94" s="17" t="s">
        <v>95</v>
      </c>
      <c r="F94" s="17">
        <v>3</v>
      </c>
      <c r="G94" s="17" t="str">
        <f t="shared" si="1"/>
        <v>M0111-B-29-3</v>
      </c>
      <c r="H94" s="17">
        <v>117.81</v>
      </c>
      <c r="I94" s="17">
        <v>118.53</v>
      </c>
    </row>
    <row r="95" spans="1:9">
      <c r="A95" s="17">
        <v>501</v>
      </c>
      <c r="B95" s="17" t="s">
        <v>100</v>
      </c>
      <c r="C95" s="17" t="s">
        <v>94</v>
      </c>
      <c r="D95" s="17">
        <v>30</v>
      </c>
      <c r="E95" s="17" t="s">
        <v>95</v>
      </c>
      <c r="F95" s="17">
        <v>1</v>
      </c>
      <c r="G95" s="17" t="str">
        <f t="shared" si="1"/>
        <v>M0111-B-30-1</v>
      </c>
      <c r="H95" s="17">
        <v>118.3</v>
      </c>
      <c r="I95" s="17">
        <v>119.8</v>
      </c>
    </row>
    <row r="96" spans="1:9">
      <c r="A96" s="17">
        <v>501</v>
      </c>
      <c r="B96" s="17" t="s">
        <v>100</v>
      </c>
      <c r="C96" s="17" t="s">
        <v>94</v>
      </c>
      <c r="D96" s="17">
        <v>30</v>
      </c>
      <c r="E96" s="17" t="s">
        <v>95</v>
      </c>
      <c r="F96" s="17">
        <v>2</v>
      </c>
      <c r="G96" s="17" t="str">
        <f t="shared" si="1"/>
        <v>M0111-B-30-2</v>
      </c>
      <c r="H96" s="17">
        <v>119.8</v>
      </c>
      <c r="I96" s="17">
        <v>120.76</v>
      </c>
    </row>
    <row r="97" spans="1:9">
      <c r="A97" s="17">
        <v>501</v>
      </c>
      <c r="B97" s="17" t="s">
        <v>100</v>
      </c>
      <c r="C97" s="17" t="s">
        <v>94</v>
      </c>
      <c r="D97" s="17">
        <v>31</v>
      </c>
      <c r="E97" s="17" t="s">
        <v>95</v>
      </c>
      <c r="F97" s="17">
        <v>1</v>
      </c>
      <c r="G97" s="17" t="str">
        <f t="shared" si="1"/>
        <v>M0111-B-31-1</v>
      </c>
      <c r="H97" s="17">
        <v>121.3</v>
      </c>
      <c r="I97" s="17">
        <v>122.8</v>
      </c>
    </row>
    <row r="98" spans="1:9">
      <c r="A98" s="17">
        <v>501</v>
      </c>
      <c r="B98" s="17" t="s">
        <v>100</v>
      </c>
      <c r="C98" s="17" t="s">
        <v>94</v>
      </c>
      <c r="D98" s="17">
        <v>31</v>
      </c>
      <c r="E98" s="17" t="s">
        <v>95</v>
      </c>
      <c r="F98" s="17">
        <v>2</v>
      </c>
      <c r="G98" s="17" t="str">
        <f t="shared" si="1"/>
        <v>M0111-B-31-2</v>
      </c>
      <c r="H98" s="17">
        <v>122.8</v>
      </c>
      <c r="I98" s="17">
        <v>123.82</v>
      </c>
    </row>
    <row r="99" spans="1:9">
      <c r="A99" s="17">
        <v>501</v>
      </c>
      <c r="B99" s="17" t="s">
        <v>100</v>
      </c>
      <c r="C99" s="17" t="s">
        <v>94</v>
      </c>
      <c r="D99" s="17">
        <v>32</v>
      </c>
      <c r="E99" s="17" t="s">
        <v>95</v>
      </c>
      <c r="F99" s="17">
        <v>1</v>
      </c>
      <c r="G99" s="17" t="str">
        <f t="shared" si="1"/>
        <v>M0111-B-32-1</v>
      </c>
      <c r="H99" s="17">
        <v>124.3</v>
      </c>
      <c r="I99" s="17">
        <v>124.64</v>
      </c>
    </row>
    <row r="100" spans="1:9">
      <c r="A100" s="17">
        <v>501</v>
      </c>
      <c r="B100" s="17" t="s">
        <v>100</v>
      </c>
      <c r="C100" s="17" t="s">
        <v>94</v>
      </c>
      <c r="D100" s="17">
        <v>33</v>
      </c>
      <c r="E100" s="17" t="s">
        <v>95</v>
      </c>
      <c r="F100" s="17">
        <v>1</v>
      </c>
      <c r="G100" s="17" t="str">
        <f t="shared" si="1"/>
        <v>M0111-B-33-1</v>
      </c>
      <c r="H100" s="17">
        <v>126.7</v>
      </c>
      <c r="I100" s="17">
        <v>127.31</v>
      </c>
    </row>
    <row r="101" spans="1:9">
      <c r="A101" s="17">
        <v>501</v>
      </c>
      <c r="B101" s="17" t="s">
        <v>100</v>
      </c>
      <c r="C101" s="17" t="s">
        <v>94</v>
      </c>
      <c r="D101" s="17">
        <v>33</v>
      </c>
      <c r="E101" s="17" t="s">
        <v>95</v>
      </c>
      <c r="F101" s="17">
        <v>2</v>
      </c>
      <c r="G101" s="17" t="str">
        <f t="shared" si="1"/>
        <v>M0111-B-33-2</v>
      </c>
      <c r="H101" s="17">
        <v>127.31</v>
      </c>
      <c r="I101" s="17">
        <v>127.48</v>
      </c>
    </row>
    <row r="102" spans="1:9">
      <c r="A102" s="17">
        <v>501</v>
      </c>
      <c r="B102" s="17" t="s">
        <v>100</v>
      </c>
      <c r="C102" s="17" t="s">
        <v>94</v>
      </c>
      <c r="D102" s="17">
        <v>34</v>
      </c>
      <c r="E102" s="17" t="s">
        <v>95</v>
      </c>
      <c r="F102" s="17">
        <v>1</v>
      </c>
      <c r="G102" s="17" t="str">
        <f t="shared" si="1"/>
        <v>M0111-B-34-1</v>
      </c>
      <c r="H102" s="17">
        <v>121.52</v>
      </c>
      <c r="I102" s="17">
        <v>122.49</v>
      </c>
    </row>
    <row r="103" spans="1:9">
      <c r="A103" s="17">
        <v>501</v>
      </c>
      <c r="B103" s="17" t="s">
        <v>100</v>
      </c>
      <c r="C103" s="17" t="s">
        <v>94</v>
      </c>
      <c r="D103" s="17">
        <v>34</v>
      </c>
      <c r="E103" s="17" t="s">
        <v>95</v>
      </c>
      <c r="F103" s="17">
        <v>2</v>
      </c>
      <c r="G103" s="17" t="str">
        <f t="shared" si="1"/>
        <v>M0111-B-34-2</v>
      </c>
      <c r="H103" s="17">
        <v>122.49</v>
      </c>
      <c r="I103" s="17">
        <v>123.1</v>
      </c>
    </row>
    <row r="104" spans="1:9">
      <c r="A104" s="17">
        <v>501</v>
      </c>
      <c r="B104" s="17" t="s">
        <v>100</v>
      </c>
      <c r="C104" s="17" t="s">
        <v>94</v>
      </c>
      <c r="D104" s="17">
        <v>35</v>
      </c>
      <c r="E104" s="17" t="s">
        <v>95</v>
      </c>
      <c r="F104" s="17">
        <v>1</v>
      </c>
      <c r="G104" s="17" t="str">
        <f t="shared" si="1"/>
        <v>M0111-B-35-1</v>
      </c>
      <c r="H104" s="17">
        <v>122.52</v>
      </c>
      <c r="I104" s="17">
        <v>124.02</v>
      </c>
    </row>
    <row r="105" spans="1:9">
      <c r="A105" s="17">
        <v>501</v>
      </c>
      <c r="B105" s="17" t="s">
        <v>100</v>
      </c>
      <c r="C105" s="17" t="s">
        <v>94</v>
      </c>
      <c r="D105" s="17">
        <v>35</v>
      </c>
      <c r="E105" s="17" t="s">
        <v>95</v>
      </c>
      <c r="F105" s="17">
        <v>2</v>
      </c>
      <c r="G105" s="17" t="str">
        <f t="shared" si="1"/>
        <v>M0111-B-35-2</v>
      </c>
      <c r="H105" s="17">
        <v>124.02</v>
      </c>
      <c r="I105" s="17">
        <v>125.02</v>
      </c>
    </row>
    <row r="106" spans="1:9">
      <c r="A106" s="17">
        <v>501</v>
      </c>
      <c r="B106" s="17" t="s">
        <v>100</v>
      </c>
      <c r="C106" s="17" t="s">
        <v>94</v>
      </c>
      <c r="D106" s="17">
        <v>35</v>
      </c>
      <c r="E106" s="17" t="s">
        <v>95</v>
      </c>
      <c r="F106" s="17">
        <v>3</v>
      </c>
      <c r="G106" s="17" t="str">
        <f t="shared" si="1"/>
        <v>M0111-B-35-3</v>
      </c>
      <c r="H106" s="17">
        <v>125.02</v>
      </c>
      <c r="I106" s="17">
        <v>125.67</v>
      </c>
    </row>
    <row r="107" spans="1:9">
      <c r="A107" s="17">
        <v>501</v>
      </c>
      <c r="B107" s="17" t="s">
        <v>100</v>
      </c>
      <c r="C107" s="17" t="s">
        <v>94</v>
      </c>
      <c r="D107" s="17">
        <v>36</v>
      </c>
      <c r="E107" s="17" t="s">
        <v>95</v>
      </c>
      <c r="F107" s="17">
        <v>1</v>
      </c>
      <c r="G107" s="17" t="str">
        <f t="shared" si="1"/>
        <v>M0111-B-36-1</v>
      </c>
      <c r="H107" s="17">
        <v>125.57</v>
      </c>
      <c r="I107" s="17">
        <v>126.57</v>
      </c>
    </row>
    <row r="108" spans="1:9">
      <c r="A108" s="17">
        <v>501</v>
      </c>
      <c r="B108" s="17" t="s">
        <v>100</v>
      </c>
      <c r="C108" s="17" t="s">
        <v>94</v>
      </c>
      <c r="D108" s="17">
        <v>36</v>
      </c>
      <c r="E108" s="17" t="s">
        <v>95</v>
      </c>
      <c r="F108" s="17">
        <v>2</v>
      </c>
      <c r="G108" s="17" t="str">
        <f t="shared" si="1"/>
        <v>M0111-B-36-2</v>
      </c>
      <c r="H108" s="17">
        <v>126.57</v>
      </c>
      <c r="I108" s="17">
        <v>127.48</v>
      </c>
    </row>
    <row r="109" spans="1:9">
      <c r="A109" s="17">
        <v>501</v>
      </c>
      <c r="B109" s="17" t="s">
        <v>100</v>
      </c>
      <c r="C109" s="17" t="s">
        <v>94</v>
      </c>
      <c r="D109" s="17">
        <v>37</v>
      </c>
      <c r="E109" s="17" t="s">
        <v>95</v>
      </c>
      <c r="F109" s="17">
        <v>1</v>
      </c>
      <c r="G109" s="17" t="str">
        <f t="shared" si="1"/>
        <v>M0111-B-37-1</v>
      </c>
      <c r="H109" s="17">
        <v>127.64</v>
      </c>
      <c r="I109" s="17">
        <v>128.71</v>
      </c>
    </row>
    <row r="110" spans="1:9">
      <c r="A110" s="17">
        <v>501</v>
      </c>
      <c r="B110" s="17" t="s">
        <v>100</v>
      </c>
      <c r="C110" s="17" t="s">
        <v>94</v>
      </c>
      <c r="D110" s="17">
        <v>38</v>
      </c>
      <c r="E110" s="17" t="s">
        <v>95</v>
      </c>
      <c r="F110" s="17">
        <v>1</v>
      </c>
      <c r="G110" s="17" t="str">
        <f t="shared" si="1"/>
        <v>M0111-B-38-1</v>
      </c>
      <c r="H110" s="17">
        <v>129.38999999999999</v>
      </c>
      <c r="I110" s="17">
        <v>130.88999999999999</v>
      </c>
    </row>
    <row r="111" spans="1:9">
      <c r="A111" s="17">
        <v>501</v>
      </c>
      <c r="B111" s="17" t="s">
        <v>100</v>
      </c>
      <c r="C111" s="17" t="s">
        <v>94</v>
      </c>
      <c r="D111" s="17">
        <v>38</v>
      </c>
      <c r="E111" s="17" t="s">
        <v>95</v>
      </c>
      <c r="F111" s="17">
        <v>2</v>
      </c>
      <c r="G111" s="17" t="str">
        <f t="shared" si="1"/>
        <v>M0111-B-38-2</v>
      </c>
      <c r="H111" s="17">
        <v>130.88999999999999</v>
      </c>
      <c r="I111" s="17">
        <v>131.49</v>
      </c>
    </row>
    <row r="112" spans="1:9">
      <c r="A112" s="17">
        <v>501</v>
      </c>
      <c r="B112" s="17" t="s">
        <v>100</v>
      </c>
      <c r="C112" s="17" t="s">
        <v>94</v>
      </c>
      <c r="D112" s="17">
        <v>39</v>
      </c>
      <c r="E112" s="17" t="s">
        <v>95</v>
      </c>
      <c r="F112" s="17">
        <v>1</v>
      </c>
      <c r="G112" s="17" t="str">
        <f t="shared" si="1"/>
        <v>M0111-B-39-1</v>
      </c>
      <c r="H112" s="17">
        <v>131.66999999999999</v>
      </c>
      <c r="I112" s="17">
        <v>133.16</v>
      </c>
    </row>
    <row r="113" spans="1:9">
      <c r="A113" s="17">
        <v>501</v>
      </c>
      <c r="B113" s="17" t="s">
        <v>100</v>
      </c>
      <c r="C113" s="17" t="s">
        <v>94</v>
      </c>
      <c r="D113" s="17">
        <v>39</v>
      </c>
      <c r="E113" s="17" t="s">
        <v>95</v>
      </c>
      <c r="F113" s="17">
        <v>2</v>
      </c>
      <c r="G113" s="17" t="str">
        <f t="shared" si="1"/>
        <v>M0111-B-39-2</v>
      </c>
      <c r="H113" s="17">
        <v>133.16</v>
      </c>
      <c r="I113" s="17">
        <v>134.46</v>
      </c>
    </row>
    <row r="114" spans="1:9">
      <c r="A114" s="17">
        <v>501</v>
      </c>
      <c r="B114" s="17" t="s">
        <v>100</v>
      </c>
      <c r="C114" s="17" t="s">
        <v>94</v>
      </c>
      <c r="D114" s="17">
        <v>40</v>
      </c>
      <c r="E114" s="17" t="s">
        <v>95</v>
      </c>
      <c r="F114" s="17">
        <v>1</v>
      </c>
      <c r="G114" s="17" t="str">
        <f t="shared" si="1"/>
        <v>M0111-B-40-1</v>
      </c>
      <c r="H114" s="17">
        <v>134.72</v>
      </c>
      <c r="I114" s="17">
        <v>135.87</v>
      </c>
    </row>
    <row r="115" spans="1:9">
      <c r="A115" s="17">
        <v>501</v>
      </c>
      <c r="B115" s="17" t="s">
        <v>100</v>
      </c>
      <c r="C115" s="17" t="s">
        <v>94</v>
      </c>
      <c r="D115" s="17">
        <v>41</v>
      </c>
      <c r="E115" s="17" t="s">
        <v>95</v>
      </c>
      <c r="F115" s="17">
        <v>1</v>
      </c>
      <c r="G115" s="17" t="str">
        <f t="shared" si="1"/>
        <v>M0111-B-41-1</v>
      </c>
      <c r="H115" s="17">
        <v>137.77000000000001</v>
      </c>
      <c r="I115" s="17">
        <v>139.27000000000001</v>
      </c>
    </row>
    <row r="116" spans="1:9">
      <c r="A116" s="17">
        <v>501</v>
      </c>
      <c r="B116" s="17" t="s">
        <v>100</v>
      </c>
      <c r="C116" s="17" t="s">
        <v>94</v>
      </c>
      <c r="D116" s="17">
        <v>41</v>
      </c>
      <c r="E116" s="17" t="s">
        <v>95</v>
      </c>
      <c r="F116" s="17">
        <v>2</v>
      </c>
      <c r="G116" s="17" t="str">
        <f t="shared" si="1"/>
        <v>M0111-B-41-2</v>
      </c>
      <c r="H116" s="17">
        <v>139.27000000000001</v>
      </c>
      <c r="I116" s="17">
        <v>140.22999999999999</v>
      </c>
    </row>
    <row r="117" spans="1:9">
      <c r="A117" s="17">
        <v>501</v>
      </c>
      <c r="B117" s="17" t="s">
        <v>100</v>
      </c>
      <c r="C117" s="17" t="s">
        <v>94</v>
      </c>
      <c r="D117" s="17">
        <v>42</v>
      </c>
      <c r="E117" s="17" t="s">
        <v>95</v>
      </c>
      <c r="F117" s="17">
        <v>1</v>
      </c>
      <c r="G117" s="17" t="str">
        <f t="shared" si="1"/>
        <v>M0111-B-42-1</v>
      </c>
      <c r="H117" s="17">
        <v>140.82</v>
      </c>
      <c r="I117" s="17">
        <v>141.87</v>
      </c>
    </row>
    <row r="118" spans="1:9">
      <c r="A118" s="17">
        <v>501</v>
      </c>
      <c r="B118" s="17" t="s">
        <v>100</v>
      </c>
      <c r="C118" s="17" t="s">
        <v>94</v>
      </c>
      <c r="D118" s="17">
        <v>43</v>
      </c>
      <c r="E118" s="17" t="s">
        <v>95</v>
      </c>
      <c r="F118" s="17">
        <v>1</v>
      </c>
      <c r="G118" s="17" t="str">
        <f t="shared" si="1"/>
        <v>M0111-B-43-1</v>
      </c>
      <c r="H118" s="17">
        <v>143.87</v>
      </c>
      <c r="I118" s="17">
        <v>144.72</v>
      </c>
    </row>
    <row r="119" spans="1:9">
      <c r="A119" s="17">
        <v>501</v>
      </c>
      <c r="B119" s="17" t="s">
        <v>100</v>
      </c>
      <c r="C119" s="17" t="s">
        <v>94</v>
      </c>
      <c r="D119" s="17">
        <v>43</v>
      </c>
      <c r="E119" s="17" t="s">
        <v>95</v>
      </c>
      <c r="F119" s="17">
        <v>2</v>
      </c>
      <c r="G119" s="17" t="str">
        <f t="shared" si="1"/>
        <v>M0111-B-43-2</v>
      </c>
      <c r="H119" s="17">
        <v>144.72</v>
      </c>
      <c r="I119" s="17">
        <v>145.26</v>
      </c>
    </row>
    <row r="120" spans="1:9">
      <c r="A120" s="17">
        <v>501</v>
      </c>
      <c r="B120" s="17" t="s">
        <v>100</v>
      </c>
      <c r="C120" s="17" t="s">
        <v>94</v>
      </c>
      <c r="D120" s="17">
        <v>44</v>
      </c>
      <c r="E120" s="17" t="s">
        <v>95</v>
      </c>
      <c r="F120" s="17">
        <v>1</v>
      </c>
      <c r="G120" s="17" t="str">
        <f t="shared" si="1"/>
        <v>M0111-B-44-1</v>
      </c>
      <c r="H120" s="17">
        <v>146.11000000000001</v>
      </c>
      <c r="I120" s="17">
        <v>147.61000000000001</v>
      </c>
    </row>
    <row r="121" spans="1:9">
      <c r="A121" s="17">
        <v>501</v>
      </c>
      <c r="B121" s="17" t="s">
        <v>100</v>
      </c>
      <c r="C121" s="17" t="s">
        <v>94</v>
      </c>
      <c r="D121" s="17">
        <v>44</v>
      </c>
      <c r="E121" s="17" t="s">
        <v>95</v>
      </c>
      <c r="F121" s="17">
        <v>2</v>
      </c>
      <c r="G121" s="17" t="str">
        <f t="shared" si="1"/>
        <v>M0111-B-44-2</v>
      </c>
      <c r="H121" s="17">
        <v>147.61000000000001</v>
      </c>
      <c r="I121" s="17">
        <v>148.4</v>
      </c>
    </row>
    <row r="122" spans="1:9">
      <c r="A122" s="17">
        <v>501</v>
      </c>
      <c r="B122" s="17" t="s">
        <v>100</v>
      </c>
      <c r="C122" s="17" t="s">
        <v>94</v>
      </c>
      <c r="D122" s="17">
        <v>45</v>
      </c>
      <c r="E122" s="17" t="s">
        <v>95</v>
      </c>
      <c r="F122" s="17">
        <v>1</v>
      </c>
      <c r="G122" s="17" t="str">
        <f t="shared" si="1"/>
        <v>M0111-B-45-1</v>
      </c>
      <c r="H122" s="17">
        <v>149.16</v>
      </c>
      <c r="I122" s="17">
        <v>150.13999999999999</v>
      </c>
    </row>
    <row r="123" spans="1:9">
      <c r="A123" s="17">
        <v>501</v>
      </c>
      <c r="B123" s="17" t="s">
        <v>100</v>
      </c>
      <c r="C123" s="17" t="s">
        <v>94</v>
      </c>
      <c r="D123" s="17">
        <v>46</v>
      </c>
      <c r="E123" s="17" t="s">
        <v>95</v>
      </c>
      <c r="F123" s="17">
        <v>1</v>
      </c>
      <c r="G123" s="17" t="str">
        <f t="shared" si="1"/>
        <v>M0111-B-46-1</v>
      </c>
      <c r="H123" s="17">
        <v>149.54</v>
      </c>
      <c r="I123" s="17">
        <v>151.04</v>
      </c>
    </row>
    <row r="124" spans="1:9">
      <c r="A124" s="17">
        <v>501</v>
      </c>
      <c r="B124" s="17" t="s">
        <v>100</v>
      </c>
      <c r="C124" s="17" t="s">
        <v>94</v>
      </c>
      <c r="D124" s="17">
        <v>46</v>
      </c>
      <c r="E124" s="17" t="s">
        <v>95</v>
      </c>
      <c r="F124" s="17">
        <v>2</v>
      </c>
      <c r="G124" s="17" t="str">
        <f t="shared" si="1"/>
        <v>M0111-B-46-2</v>
      </c>
      <c r="H124" s="17">
        <v>151.04</v>
      </c>
      <c r="I124" s="17">
        <v>152.29</v>
      </c>
    </row>
    <row r="125" spans="1:9">
      <c r="A125" s="17">
        <v>501</v>
      </c>
      <c r="B125" s="17" t="s">
        <v>100</v>
      </c>
      <c r="C125" s="17" t="s">
        <v>94</v>
      </c>
      <c r="D125" s="17">
        <v>47</v>
      </c>
      <c r="E125" s="17" t="s">
        <v>95</v>
      </c>
      <c r="F125" s="17">
        <v>1</v>
      </c>
      <c r="G125" s="17" t="str">
        <f t="shared" si="1"/>
        <v>M0111-B-47-1</v>
      </c>
      <c r="H125" s="17">
        <v>152.21</v>
      </c>
      <c r="I125" s="17">
        <v>153.71</v>
      </c>
    </row>
    <row r="126" spans="1:9">
      <c r="A126" s="17">
        <v>501</v>
      </c>
      <c r="B126" s="17" t="s">
        <v>100</v>
      </c>
      <c r="C126" s="17" t="s">
        <v>94</v>
      </c>
      <c r="D126" s="17">
        <v>47</v>
      </c>
      <c r="E126" s="17" t="s">
        <v>95</v>
      </c>
      <c r="F126" s="17">
        <v>2</v>
      </c>
      <c r="G126" s="17" t="str">
        <f t="shared" si="1"/>
        <v>M0111-B-47-2</v>
      </c>
      <c r="H126" s="17">
        <v>153.71</v>
      </c>
      <c r="I126" s="17">
        <v>154.71</v>
      </c>
    </row>
    <row r="127" spans="1:9">
      <c r="A127" s="17">
        <v>501</v>
      </c>
      <c r="B127" s="17" t="s">
        <v>100</v>
      </c>
      <c r="C127" s="17" t="s">
        <v>94</v>
      </c>
      <c r="D127" s="17">
        <v>47</v>
      </c>
      <c r="E127" s="17" t="s">
        <v>95</v>
      </c>
      <c r="F127" s="17">
        <v>3</v>
      </c>
      <c r="G127" s="17" t="str">
        <f t="shared" si="1"/>
        <v>M0111-B-47-3</v>
      </c>
      <c r="H127" s="17">
        <v>154.71</v>
      </c>
      <c r="I127" s="17">
        <v>155.35</v>
      </c>
    </row>
    <row r="128" spans="1:9">
      <c r="A128" s="17">
        <v>501</v>
      </c>
      <c r="B128" s="17" t="s">
        <v>100</v>
      </c>
      <c r="C128" s="17" t="s">
        <v>94</v>
      </c>
      <c r="D128" s="17">
        <v>48</v>
      </c>
      <c r="E128" s="17" t="s">
        <v>95</v>
      </c>
      <c r="F128" s="17">
        <v>1</v>
      </c>
      <c r="G128" s="17" t="str">
        <f t="shared" si="1"/>
        <v>M0111-B-48-1</v>
      </c>
      <c r="H128" s="17">
        <v>155.26</v>
      </c>
      <c r="I128" s="17">
        <v>155.72999999999999</v>
      </c>
    </row>
    <row r="129" spans="1:9">
      <c r="A129" s="17">
        <v>501</v>
      </c>
      <c r="B129" s="17" t="s">
        <v>100</v>
      </c>
      <c r="C129" s="17" t="s">
        <v>94</v>
      </c>
      <c r="D129" s="17">
        <v>49</v>
      </c>
      <c r="E129" s="17" t="s">
        <v>95</v>
      </c>
      <c r="F129" s="17">
        <v>1</v>
      </c>
      <c r="G129" s="17" t="str">
        <f t="shared" si="1"/>
        <v>M0111-B-49-1</v>
      </c>
      <c r="H129" s="17">
        <v>158.31</v>
      </c>
      <c r="I129" s="17">
        <v>158.5</v>
      </c>
    </row>
    <row r="130" spans="1:9">
      <c r="A130" s="17">
        <v>501</v>
      </c>
      <c r="B130" s="17" t="s">
        <v>100</v>
      </c>
      <c r="C130" s="17" t="s">
        <v>94</v>
      </c>
      <c r="D130" s="17">
        <v>50</v>
      </c>
      <c r="E130" s="17" t="s">
        <v>95</v>
      </c>
      <c r="F130" s="17">
        <v>1</v>
      </c>
      <c r="G130" s="17" t="str">
        <f t="shared" si="1"/>
        <v>M0111-B-50-1</v>
      </c>
      <c r="H130" s="17">
        <v>158.56</v>
      </c>
      <c r="I130" s="17">
        <v>158.75</v>
      </c>
    </row>
    <row r="131" spans="1:9">
      <c r="A131" s="17">
        <v>501</v>
      </c>
      <c r="B131" s="17" t="s">
        <v>100</v>
      </c>
      <c r="C131" s="17" t="s">
        <v>94</v>
      </c>
      <c r="D131" s="17">
        <v>51</v>
      </c>
      <c r="E131" s="17" t="s">
        <v>95</v>
      </c>
      <c r="F131" s="17">
        <v>1</v>
      </c>
      <c r="G131" s="17" t="str">
        <f t="shared" ref="G131:G247" si="2">CONCATENATE(B131, "-",C131, "-", D131, "-", F131)</f>
        <v>M0111-B-51-1</v>
      </c>
      <c r="H131" s="17">
        <v>161.36000000000001</v>
      </c>
      <c r="I131" s="17">
        <v>161.96</v>
      </c>
    </row>
    <row r="132" spans="1:9">
      <c r="A132" s="17">
        <v>501</v>
      </c>
      <c r="B132" s="17" t="s">
        <v>100</v>
      </c>
      <c r="C132" s="17" t="s">
        <v>94</v>
      </c>
      <c r="D132" s="17">
        <v>52</v>
      </c>
      <c r="E132" s="17" t="s">
        <v>95</v>
      </c>
      <c r="F132" s="17">
        <v>1</v>
      </c>
      <c r="G132" s="17" t="str">
        <f t="shared" si="2"/>
        <v>M0111-B-52-1</v>
      </c>
      <c r="H132" s="17">
        <v>162.06</v>
      </c>
      <c r="I132" s="17">
        <v>162.32</v>
      </c>
    </row>
    <row r="133" spans="1:9">
      <c r="A133" s="17">
        <v>501</v>
      </c>
      <c r="B133" s="17" t="s">
        <v>100</v>
      </c>
      <c r="C133" s="17" t="s">
        <v>94</v>
      </c>
      <c r="D133" s="17">
        <v>53</v>
      </c>
      <c r="E133" s="17" t="s">
        <v>95</v>
      </c>
      <c r="F133" s="17">
        <v>1</v>
      </c>
      <c r="G133" s="17" t="str">
        <f t="shared" si="2"/>
        <v>M0111-B-53-1</v>
      </c>
      <c r="H133" s="17">
        <v>163.84</v>
      </c>
      <c r="I133" s="17">
        <v>164.1</v>
      </c>
    </row>
    <row r="134" spans="1:9">
      <c r="A134" s="17">
        <v>501</v>
      </c>
      <c r="B134" s="17" t="s">
        <v>100</v>
      </c>
      <c r="C134" s="17" t="s">
        <v>94</v>
      </c>
      <c r="D134" s="17">
        <v>54</v>
      </c>
      <c r="E134" s="17" t="s">
        <v>95</v>
      </c>
      <c r="F134" s="17">
        <v>1</v>
      </c>
      <c r="G134" s="17" t="str">
        <f t="shared" si="2"/>
        <v>M0111-B-54-1</v>
      </c>
      <c r="H134" s="17">
        <v>165.46</v>
      </c>
      <c r="I134" s="17">
        <v>165.84</v>
      </c>
    </row>
    <row r="135" spans="1:9">
      <c r="A135" s="17">
        <v>501</v>
      </c>
      <c r="B135" s="17" t="s">
        <v>100</v>
      </c>
      <c r="C135" s="17" t="s">
        <v>94</v>
      </c>
      <c r="D135" s="17">
        <v>55</v>
      </c>
      <c r="E135" s="17" t="s">
        <v>95</v>
      </c>
      <c r="F135" s="17">
        <v>1</v>
      </c>
      <c r="G135" s="17" t="str">
        <f t="shared" si="2"/>
        <v>M0111-B-55-1</v>
      </c>
      <c r="H135" s="17">
        <v>165.81</v>
      </c>
      <c r="I135" s="17">
        <v>166.31</v>
      </c>
    </row>
    <row r="136" spans="1:9">
      <c r="A136" s="17">
        <v>501</v>
      </c>
      <c r="B136" s="17" t="s">
        <v>100</v>
      </c>
      <c r="C136" s="17" t="s">
        <v>94</v>
      </c>
      <c r="D136" s="17">
        <v>56</v>
      </c>
      <c r="E136" s="17" t="s">
        <v>95</v>
      </c>
      <c r="F136" s="17">
        <v>1</v>
      </c>
      <c r="G136" s="17" t="str">
        <f t="shared" si="2"/>
        <v>M0111-B-56-1</v>
      </c>
      <c r="H136" s="17">
        <v>166.21</v>
      </c>
      <c r="I136" s="17">
        <v>166.52</v>
      </c>
    </row>
    <row r="137" spans="1:9">
      <c r="A137" s="17">
        <v>501</v>
      </c>
      <c r="B137" s="17" t="s">
        <v>100</v>
      </c>
      <c r="C137" s="17" t="s">
        <v>94</v>
      </c>
      <c r="D137" s="17">
        <v>57</v>
      </c>
      <c r="E137" s="17" t="s">
        <v>95</v>
      </c>
      <c r="F137" s="17">
        <v>1</v>
      </c>
      <c r="G137" s="17" t="str">
        <f t="shared" si="2"/>
        <v>M0111-B-57-1</v>
      </c>
      <c r="H137" s="17">
        <v>167.46</v>
      </c>
      <c r="I137" s="17">
        <v>168.16</v>
      </c>
    </row>
    <row r="138" spans="1:9">
      <c r="A138" s="17">
        <v>501</v>
      </c>
      <c r="B138" s="17" t="s">
        <v>100</v>
      </c>
      <c r="C138" s="17" t="s">
        <v>94</v>
      </c>
      <c r="D138" s="17">
        <v>58</v>
      </c>
      <c r="E138" s="17" t="s">
        <v>95</v>
      </c>
      <c r="F138" s="17">
        <v>1</v>
      </c>
      <c r="G138" s="17" t="str">
        <f t="shared" si="2"/>
        <v>M0111-B-58-1</v>
      </c>
      <c r="H138" s="17">
        <v>168.51</v>
      </c>
      <c r="I138" s="17">
        <v>169.33</v>
      </c>
    </row>
    <row r="139" spans="1:9">
      <c r="A139" s="17">
        <v>501</v>
      </c>
      <c r="B139" s="17" t="s">
        <v>100</v>
      </c>
      <c r="C139" s="17" t="s">
        <v>94</v>
      </c>
      <c r="D139" s="17">
        <v>59</v>
      </c>
      <c r="E139" s="17" t="s">
        <v>95</v>
      </c>
      <c r="F139" s="17">
        <v>1</v>
      </c>
      <c r="G139" s="17" t="str">
        <f t="shared" si="2"/>
        <v>M0111-B-59-1</v>
      </c>
      <c r="H139" s="17">
        <v>169.51</v>
      </c>
      <c r="I139" s="17">
        <v>170.22</v>
      </c>
    </row>
    <row r="140" spans="1:9">
      <c r="A140" s="17">
        <v>501</v>
      </c>
      <c r="B140" s="17" t="s">
        <v>100</v>
      </c>
      <c r="C140" s="17" t="s">
        <v>94</v>
      </c>
      <c r="D140" s="17">
        <v>59</v>
      </c>
      <c r="E140" s="17" t="s">
        <v>95</v>
      </c>
      <c r="F140" s="17">
        <v>2</v>
      </c>
      <c r="G140" s="17" t="str">
        <f t="shared" si="2"/>
        <v>M0111-B-59-2</v>
      </c>
      <c r="H140" s="17">
        <v>170.22</v>
      </c>
      <c r="I140" s="17">
        <v>170.76</v>
      </c>
    </row>
    <row r="141" spans="1:9">
      <c r="A141" s="17">
        <v>501</v>
      </c>
      <c r="B141" s="17" t="s">
        <v>100</v>
      </c>
      <c r="C141" s="17" t="s">
        <v>94</v>
      </c>
      <c r="D141" s="17">
        <v>59</v>
      </c>
      <c r="E141" s="17" t="s">
        <v>95</v>
      </c>
      <c r="F141" s="17">
        <v>3</v>
      </c>
      <c r="G141" s="17" t="str">
        <f t="shared" si="2"/>
        <v>M0111-B-59-3</v>
      </c>
      <c r="H141" s="17">
        <v>170.76</v>
      </c>
      <c r="I141" s="17">
        <v>170.9</v>
      </c>
    </row>
    <row r="142" spans="1:9">
      <c r="A142" s="17">
        <v>501</v>
      </c>
      <c r="B142" s="17" t="s">
        <v>100</v>
      </c>
      <c r="C142" s="17" t="s">
        <v>94</v>
      </c>
      <c r="D142" s="17">
        <v>60</v>
      </c>
      <c r="E142" s="17" t="s">
        <v>95</v>
      </c>
      <c r="F142" s="17">
        <v>1</v>
      </c>
      <c r="G142" s="17" t="str">
        <f t="shared" si="2"/>
        <v>M0111-B-60-1</v>
      </c>
      <c r="H142" s="17">
        <v>172.56</v>
      </c>
      <c r="I142" s="17">
        <v>173.28</v>
      </c>
    </row>
    <row r="143" spans="1:9">
      <c r="A143" s="17">
        <v>501</v>
      </c>
      <c r="B143" s="17" t="s">
        <v>100</v>
      </c>
      <c r="C143" s="17" t="s">
        <v>94</v>
      </c>
      <c r="D143" s="17">
        <v>60</v>
      </c>
      <c r="E143" s="17" t="s">
        <v>95</v>
      </c>
      <c r="F143" s="17">
        <v>2</v>
      </c>
      <c r="G143" s="17" t="str">
        <f t="shared" si="2"/>
        <v>M0111-B-60-2</v>
      </c>
      <c r="H143" s="17">
        <v>173.28</v>
      </c>
      <c r="I143" s="17">
        <v>174.76</v>
      </c>
    </row>
    <row r="144" spans="1:9">
      <c r="A144" s="17">
        <v>501</v>
      </c>
      <c r="B144" s="17" t="s">
        <v>100</v>
      </c>
      <c r="C144" s="17" t="s">
        <v>94</v>
      </c>
      <c r="D144" s="17">
        <v>60</v>
      </c>
      <c r="E144" s="17" t="s">
        <v>95</v>
      </c>
      <c r="F144" s="17">
        <v>3</v>
      </c>
      <c r="G144" s="17" t="str">
        <f t="shared" si="2"/>
        <v>M0111-B-60-3</v>
      </c>
      <c r="H144" s="17">
        <v>174.76</v>
      </c>
      <c r="I144" s="17">
        <v>175.58</v>
      </c>
    </row>
    <row r="145" spans="1:9">
      <c r="A145" s="17">
        <v>501</v>
      </c>
      <c r="B145" s="17" t="s">
        <v>100</v>
      </c>
      <c r="C145" s="17" t="s">
        <v>94</v>
      </c>
      <c r="D145" s="17">
        <v>60</v>
      </c>
      <c r="E145" s="17" t="s">
        <v>95</v>
      </c>
      <c r="F145" s="17">
        <v>4</v>
      </c>
      <c r="G145" s="17" t="str">
        <f t="shared" si="2"/>
        <v>M0111-B-60-4</v>
      </c>
      <c r="H145" s="17">
        <v>175.58</v>
      </c>
      <c r="I145" s="17">
        <v>175.78</v>
      </c>
    </row>
    <row r="146" spans="1:9">
      <c r="A146" s="17">
        <v>501</v>
      </c>
      <c r="B146" s="17" t="s">
        <v>100</v>
      </c>
      <c r="C146" s="17" t="s">
        <v>94</v>
      </c>
      <c r="D146" s="17">
        <v>61</v>
      </c>
      <c r="E146" s="17" t="s">
        <v>95</v>
      </c>
      <c r="F146" s="17">
        <v>1</v>
      </c>
      <c r="G146" s="17" t="str">
        <f t="shared" si="2"/>
        <v>M0111-B-61-1</v>
      </c>
      <c r="H146" s="17">
        <v>175.61</v>
      </c>
      <c r="I146" s="17">
        <v>177.11</v>
      </c>
    </row>
    <row r="147" spans="1:9">
      <c r="A147" s="17">
        <v>501</v>
      </c>
      <c r="B147" s="17" t="s">
        <v>100</v>
      </c>
      <c r="C147" s="17" t="s">
        <v>94</v>
      </c>
      <c r="D147" s="17">
        <v>61</v>
      </c>
      <c r="E147" s="17" t="s">
        <v>95</v>
      </c>
      <c r="F147" s="17">
        <v>2</v>
      </c>
      <c r="G147" s="17" t="str">
        <f t="shared" si="2"/>
        <v>M0111-B-61-2</v>
      </c>
      <c r="H147" s="17">
        <v>177.11</v>
      </c>
      <c r="I147" s="17">
        <v>178.11</v>
      </c>
    </row>
    <row r="148" spans="1:9">
      <c r="A148" s="17">
        <v>501</v>
      </c>
      <c r="B148" s="17" t="s">
        <v>100</v>
      </c>
      <c r="C148" s="17" t="s">
        <v>94</v>
      </c>
      <c r="D148" s="17">
        <v>61</v>
      </c>
      <c r="E148" s="17" t="s">
        <v>95</v>
      </c>
      <c r="F148" s="17">
        <v>3</v>
      </c>
      <c r="G148" s="17" t="str">
        <f t="shared" si="2"/>
        <v>M0111-B-61-3</v>
      </c>
      <c r="H148" s="17">
        <v>178.11</v>
      </c>
      <c r="I148" s="17">
        <v>178.68</v>
      </c>
    </row>
    <row r="149" spans="1:9">
      <c r="A149" s="17">
        <v>501</v>
      </c>
      <c r="B149" s="17" t="s">
        <v>100</v>
      </c>
      <c r="C149" s="17" t="s">
        <v>94</v>
      </c>
      <c r="D149" s="17">
        <v>61</v>
      </c>
      <c r="E149" s="17" t="s">
        <v>95</v>
      </c>
      <c r="F149" s="17">
        <v>4</v>
      </c>
      <c r="G149" s="17" t="str">
        <f t="shared" si="2"/>
        <v>M0111-B-61-4</v>
      </c>
      <c r="H149" s="17">
        <v>178.68</v>
      </c>
      <c r="I149" s="17">
        <v>178.85</v>
      </c>
    </row>
    <row r="150" spans="1:9">
      <c r="A150" s="17">
        <v>501</v>
      </c>
      <c r="B150" s="17" t="s">
        <v>100</v>
      </c>
      <c r="C150" s="17" t="s">
        <v>94</v>
      </c>
      <c r="D150" s="17">
        <v>62</v>
      </c>
      <c r="E150" s="17" t="s">
        <v>95</v>
      </c>
      <c r="F150" s="17">
        <v>1</v>
      </c>
      <c r="G150" s="17" t="str">
        <f t="shared" si="2"/>
        <v>M0111-B-62-1</v>
      </c>
      <c r="H150" s="17">
        <v>178.66</v>
      </c>
      <c r="I150" s="17">
        <v>180.16</v>
      </c>
    </row>
    <row r="151" spans="1:9">
      <c r="A151" s="17">
        <v>501</v>
      </c>
      <c r="B151" s="17" t="s">
        <v>100</v>
      </c>
      <c r="C151" s="17" t="s">
        <v>94</v>
      </c>
      <c r="D151" s="17">
        <v>63</v>
      </c>
      <c r="E151" s="17" t="s">
        <v>95</v>
      </c>
      <c r="F151" s="17">
        <v>1</v>
      </c>
      <c r="G151" s="17" t="str">
        <f t="shared" si="2"/>
        <v>M0111-B-63-1</v>
      </c>
      <c r="H151" s="17">
        <v>181.71</v>
      </c>
      <c r="I151" s="17">
        <v>183.21</v>
      </c>
    </row>
    <row r="152" spans="1:9">
      <c r="A152" s="17">
        <v>501</v>
      </c>
      <c r="B152" s="17" t="s">
        <v>100</v>
      </c>
      <c r="C152" s="17" t="s">
        <v>94</v>
      </c>
      <c r="D152" s="17">
        <v>63</v>
      </c>
      <c r="E152" s="17" t="s">
        <v>95</v>
      </c>
      <c r="F152" s="17">
        <v>2</v>
      </c>
      <c r="G152" s="17" t="str">
        <f t="shared" si="2"/>
        <v>M0111-B-63-2</v>
      </c>
      <c r="H152" s="17">
        <v>183.21</v>
      </c>
      <c r="I152" s="17">
        <v>184.21</v>
      </c>
    </row>
    <row r="153" spans="1:9">
      <c r="A153" s="17">
        <v>501</v>
      </c>
      <c r="B153" s="17" t="s">
        <v>100</v>
      </c>
      <c r="C153" s="17" t="s">
        <v>94</v>
      </c>
      <c r="D153" s="17">
        <v>63</v>
      </c>
      <c r="E153" s="17" t="s">
        <v>95</v>
      </c>
      <c r="F153" s="17">
        <v>3</v>
      </c>
      <c r="G153" s="17" t="str">
        <f t="shared" si="2"/>
        <v>M0111-B-63-3</v>
      </c>
      <c r="H153" s="17">
        <v>184.21</v>
      </c>
      <c r="I153" s="17">
        <v>184.79</v>
      </c>
    </row>
    <row r="154" spans="1:9">
      <c r="A154" s="17">
        <v>501</v>
      </c>
      <c r="B154" s="17" t="s">
        <v>100</v>
      </c>
      <c r="C154" s="17" t="s">
        <v>94</v>
      </c>
      <c r="D154" s="17">
        <v>63</v>
      </c>
      <c r="E154" s="17" t="s">
        <v>95</v>
      </c>
      <c r="F154" s="17">
        <v>4</v>
      </c>
      <c r="G154" s="17" t="str">
        <f t="shared" si="2"/>
        <v>M0111-B-63-4</v>
      </c>
      <c r="H154" s="17">
        <v>184.79</v>
      </c>
      <c r="I154" s="17">
        <v>184.92</v>
      </c>
    </row>
    <row r="155" spans="1:9">
      <c r="A155" s="17">
        <v>501</v>
      </c>
      <c r="B155" s="17" t="s">
        <v>100</v>
      </c>
      <c r="C155" s="17" t="s">
        <v>94</v>
      </c>
      <c r="D155" s="17">
        <v>64</v>
      </c>
      <c r="E155" s="17" t="s">
        <v>95</v>
      </c>
      <c r="F155" s="17">
        <v>1</v>
      </c>
      <c r="G155" s="17" t="str">
        <f t="shared" si="2"/>
        <v>M0111-B-64-1</v>
      </c>
      <c r="H155" s="17">
        <v>184.76</v>
      </c>
      <c r="I155" s="17">
        <v>185.33</v>
      </c>
    </row>
    <row r="156" spans="1:9">
      <c r="A156" s="17">
        <v>501</v>
      </c>
      <c r="B156" s="17" t="s">
        <v>100</v>
      </c>
      <c r="C156" s="17" t="s">
        <v>94</v>
      </c>
      <c r="D156" s="17">
        <v>64</v>
      </c>
      <c r="E156" s="17" t="s">
        <v>95</v>
      </c>
      <c r="F156" s="17">
        <v>2</v>
      </c>
      <c r="G156" s="17" t="str">
        <f t="shared" si="2"/>
        <v>M0111-B-64-2</v>
      </c>
      <c r="H156" s="17">
        <v>185.33</v>
      </c>
      <c r="I156" s="17">
        <v>185.66</v>
      </c>
    </row>
    <row r="157" spans="1:9">
      <c r="A157" s="17">
        <v>501</v>
      </c>
      <c r="B157" s="17" t="s">
        <v>100</v>
      </c>
      <c r="C157" s="17" t="s">
        <v>94</v>
      </c>
      <c r="D157" s="17">
        <v>65</v>
      </c>
      <c r="E157" s="17" t="s">
        <v>95</v>
      </c>
      <c r="F157" s="17">
        <v>1</v>
      </c>
      <c r="G157" s="17" t="str">
        <f t="shared" si="2"/>
        <v>M0111-B-65-1</v>
      </c>
      <c r="H157" s="17">
        <v>187.81</v>
      </c>
      <c r="I157" s="17">
        <v>189.3</v>
      </c>
    </row>
    <row r="158" spans="1:9">
      <c r="A158" s="17">
        <v>501</v>
      </c>
      <c r="B158" s="17" t="s">
        <v>100</v>
      </c>
      <c r="C158" s="17" t="s">
        <v>94</v>
      </c>
      <c r="D158" s="17">
        <v>65</v>
      </c>
      <c r="E158" s="17" t="s">
        <v>95</v>
      </c>
      <c r="F158" s="17">
        <v>2</v>
      </c>
      <c r="G158" s="17" t="str">
        <f t="shared" si="2"/>
        <v>M0111-B-65-2</v>
      </c>
      <c r="H158" s="17">
        <v>189.3</v>
      </c>
      <c r="I158" s="17">
        <v>190.22</v>
      </c>
    </row>
    <row r="159" spans="1:9">
      <c r="A159" s="17">
        <v>501</v>
      </c>
      <c r="B159" s="17" t="s">
        <v>100</v>
      </c>
      <c r="C159" s="17" t="s">
        <v>94</v>
      </c>
      <c r="D159" s="17">
        <v>65</v>
      </c>
      <c r="E159" s="17" t="s">
        <v>95</v>
      </c>
      <c r="F159" s="17">
        <v>3</v>
      </c>
      <c r="G159" s="17" t="str">
        <f t="shared" si="2"/>
        <v>M0111-B-65-3</v>
      </c>
      <c r="H159" s="17">
        <v>190.22</v>
      </c>
      <c r="I159" s="17">
        <v>190.87</v>
      </c>
    </row>
    <row r="160" spans="1:9">
      <c r="A160" s="17">
        <v>501</v>
      </c>
      <c r="B160" s="17" t="s">
        <v>100</v>
      </c>
      <c r="C160" s="17" t="s">
        <v>94</v>
      </c>
      <c r="D160" s="17">
        <v>65</v>
      </c>
      <c r="E160" s="17" t="s">
        <v>95</v>
      </c>
      <c r="F160" s="17">
        <v>4</v>
      </c>
      <c r="G160" s="17" t="str">
        <f t="shared" si="2"/>
        <v>M0111-B-65-4</v>
      </c>
      <c r="H160" s="17">
        <v>190.87</v>
      </c>
      <c r="I160" s="17">
        <v>190.98</v>
      </c>
    </row>
    <row r="161" spans="1:9">
      <c r="A161" s="17">
        <v>501</v>
      </c>
      <c r="B161" s="17" t="s">
        <v>100</v>
      </c>
      <c r="C161" s="17" t="s">
        <v>94</v>
      </c>
      <c r="D161" s="17">
        <v>66</v>
      </c>
      <c r="E161" s="17" t="s">
        <v>95</v>
      </c>
      <c r="F161" s="17">
        <v>1</v>
      </c>
      <c r="G161" s="17" t="str">
        <f t="shared" si="2"/>
        <v>M0111-B-66-1</v>
      </c>
      <c r="H161" s="17">
        <v>190.86</v>
      </c>
      <c r="I161" s="17">
        <v>192.35</v>
      </c>
    </row>
    <row r="162" spans="1:9">
      <c r="A162" s="17">
        <v>501</v>
      </c>
      <c r="B162" s="17" t="s">
        <v>100</v>
      </c>
      <c r="C162" s="17" t="s">
        <v>94</v>
      </c>
      <c r="D162" s="17">
        <v>66</v>
      </c>
      <c r="E162" s="17" t="s">
        <v>95</v>
      </c>
      <c r="F162" s="17">
        <v>2</v>
      </c>
      <c r="G162" s="17" t="str">
        <f t="shared" si="2"/>
        <v>M0111-B-66-2</v>
      </c>
      <c r="H162" s="17">
        <v>192.35</v>
      </c>
      <c r="I162" s="17">
        <v>193.25</v>
      </c>
    </row>
    <row r="163" spans="1:9">
      <c r="A163" s="17">
        <v>501</v>
      </c>
      <c r="B163" s="17" t="s">
        <v>100</v>
      </c>
      <c r="C163" s="17" t="s">
        <v>94</v>
      </c>
      <c r="D163" s="17">
        <v>66</v>
      </c>
      <c r="E163" s="17" t="s">
        <v>95</v>
      </c>
      <c r="F163" s="17">
        <v>3</v>
      </c>
      <c r="G163" s="17" t="str">
        <f t="shared" si="2"/>
        <v>M0111-B-66-3</v>
      </c>
      <c r="H163" s="17">
        <v>193.25</v>
      </c>
      <c r="I163" s="17">
        <v>193.93</v>
      </c>
    </row>
    <row r="164" spans="1:9">
      <c r="A164" s="17">
        <v>501</v>
      </c>
      <c r="B164" s="17" t="s">
        <v>100</v>
      </c>
      <c r="C164" s="17" t="s">
        <v>94</v>
      </c>
      <c r="D164" s="17">
        <v>66</v>
      </c>
      <c r="E164" s="17" t="s">
        <v>95</v>
      </c>
      <c r="F164" s="17">
        <v>4</v>
      </c>
      <c r="G164" s="17" t="str">
        <f t="shared" si="2"/>
        <v>M0111-B-66-4</v>
      </c>
      <c r="H164" s="17">
        <v>193.93</v>
      </c>
      <c r="I164" s="17">
        <v>194.05</v>
      </c>
    </row>
    <row r="165" spans="1:9">
      <c r="A165" s="17">
        <v>501</v>
      </c>
      <c r="B165" s="17" t="s">
        <v>100</v>
      </c>
      <c r="C165" s="17" t="s">
        <v>94</v>
      </c>
      <c r="D165" s="17">
        <v>67</v>
      </c>
      <c r="E165" s="17" t="s">
        <v>95</v>
      </c>
      <c r="F165" s="17">
        <v>1</v>
      </c>
      <c r="G165" s="17" t="str">
        <f t="shared" si="2"/>
        <v>M0111-B-67-1</v>
      </c>
      <c r="H165" s="17">
        <v>193.91</v>
      </c>
      <c r="I165" s="17">
        <v>195.4</v>
      </c>
    </row>
    <row r="166" spans="1:9">
      <c r="A166" s="17">
        <v>501</v>
      </c>
      <c r="B166" s="17" t="s">
        <v>100</v>
      </c>
      <c r="C166" s="17" t="s">
        <v>94</v>
      </c>
      <c r="D166" s="17">
        <v>67</v>
      </c>
      <c r="E166" s="17" t="s">
        <v>95</v>
      </c>
      <c r="F166" s="17">
        <v>2</v>
      </c>
      <c r="G166" s="17" t="str">
        <f t="shared" si="2"/>
        <v>M0111-B-67-2</v>
      </c>
      <c r="H166" s="17">
        <v>195.4</v>
      </c>
      <c r="I166" s="17">
        <v>196.23</v>
      </c>
    </row>
    <row r="167" spans="1:9">
      <c r="A167" s="17">
        <v>501</v>
      </c>
      <c r="B167" s="17" t="s">
        <v>100</v>
      </c>
      <c r="C167" s="17" t="s">
        <v>94</v>
      </c>
      <c r="D167" s="17">
        <v>67</v>
      </c>
      <c r="E167" s="17" t="s">
        <v>95</v>
      </c>
      <c r="F167" s="17">
        <v>3</v>
      </c>
      <c r="G167" s="17" t="str">
        <f t="shared" si="2"/>
        <v>M0111-B-67-3</v>
      </c>
      <c r="H167" s="17">
        <v>196.23</v>
      </c>
      <c r="I167" s="17">
        <v>196.33</v>
      </c>
    </row>
    <row r="168" spans="1:9">
      <c r="A168" s="17">
        <v>501</v>
      </c>
      <c r="B168" s="17" t="s">
        <v>100</v>
      </c>
      <c r="C168" s="17" t="s">
        <v>94</v>
      </c>
      <c r="D168" s="17">
        <v>68</v>
      </c>
      <c r="E168" s="17" t="s">
        <v>95</v>
      </c>
      <c r="F168" s="17">
        <v>1</v>
      </c>
      <c r="G168" s="17" t="str">
        <f t="shared" si="2"/>
        <v>M0111-B-68-1</v>
      </c>
      <c r="H168" s="17">
        <v>196.96</v>
      </c>
      <c r="I168" s="17">
        <v>198.46</v>
      </c>
    </row>
    <row r="169" spans="1:9">
      <c r="A169" s="17">
        <v>501</v>
      </c>
      <c r="B169" s="17" t="s">
        <v>100</v>
      </c>
      <c r="C169" s="17" t="s">
        <v>94</v>
      </c>
      <c r="D169" s="17">
        <v>68</v>
      </c>
      <c r="E169" s="17" t="s">
        <v>95</v>
      </c>
      <c r="F169" s="17">
        <v>2</v>
      </c>
      <c r="G169" s="17" t="str">
        <f t="shared" si="2"/>
        <v>M0111-B-68-2</v>
      </c>
      <c r="H169" s="17">
        <v>198.46</v>
      </c>
      <c r="I169" s="17">
        <v>199.67</v>
      </c>
    </row>
    <row r="170" spans="1:9">
      <c r="A170" s="17">
        <v>501</v>
      </c>
      <c r="B170" s="17" t="s">
        <v>100</v>
      </c>
      <c r="C170" s="17" t="s">
        <v>94</v>
      </c>
      <c r="D170" s="17">
        <v>69</v>
      </c>
      <c r="E170" s="17" t="s">
        <v>95</v>
      </c>
      <c r="F170" s="17">
        <v>1</v>
      </c>
      <c r="G170" s="17" t="str">
        <f t="shared" si="2"/>
        <v>M0111-B-69-1</v>
      </c>
      <c r="H170" s="17">
        <v>200.01</v>
      </c>
      <c r="I170" s="17">
        <v>201.51</v>
      </c>
    </row>
    <row r="171" spans="1:9">
      <c r="A171" s="17">
        <v>501</v>
      </c>
      <c r="B171" s="17" t="s">
        <v>100</v>
      </c>
      <c r="C171" s="17" t="s">
        <v>94</v>
      </c>
      <c r="D171" s="17">
        <v>69</v>
      </c>
      <c r="E171" s="17" t="s">
        <v>95</v>
      </c>
      <c r="F171" s="17">
        <v>2</v>
      </c>
      <c r="G171" s="17" t="str">
        <f t="shared" si="2"/>
        <v>M0111-B-69-2</v>
      </c>
      <c r="H171" s="17">
        <v>201.51</v>
      </c>
      <c r="I171" s="17">
        <v>202.99</v>
      </c>
    </row>
    <row r="172" spans="1:9">
      <c r="A172" s="17">
        <v>501</v>
      </c>
      <c r="B172" s="17" t="s">
        <v>100</v>
      </c>
      <c r="C172" s="17" t="s">
        <v>94</v>
      </c>
      <c r="D172" s="17">
        <v>70</v>
      </c>
      <c r="E172" s="17" t="s">
        <v>95</v>
      </c>
      <c r="F172" s="17">
        <v>1</v>
      </c>
      <c r="G172" s="17" t="str">
        <f t="shared" si="2"/>
        <v>M0111-B-70-1</v>
      </c>
      <c r="H172" s="17">
        <v>203.06</v>
      </c>
      <c r="I172" s="17">
        <v>204.32</v>
      </c>
    </row>
    <row r="173" spans="1:9">
      <c r="A173" s="17">
        <v>501</v>
      </c>
      <c r="B173" s="17" t="s">
        <v>100</v>
      </c>
      <c r="C173" s="17" t="s">
        <v>94</v>
      </c>
      <c r="D173" s="17">
        <v>70</v>
      </c>
      <c r="E173" s="17" t="s">
        <v>95</v>
      </c>
      <c r="F173" s="17">
        <v>2</v>
      </c>
      <c r="G173" s="17" t="str">
        <f t="shared" si="2"/>
        <v>M0111-B-70-2</v>
      </c>
      <c r="H173" s="17">
        <v>204.32</v>
      </c>
      <c r="I173" s="17">
        <v>204.5</v>
      </c>
    </row>
    <row r="174" spans="1:9">
      <c r="A174" s="17">
        <v>501</v>
      </c>
      <c r="B174" s="17" t="s">
        <v>100</v>
      </c>
      <c r="C174" s="17" t="s">
        <v>94</v>
      </c>
      <c r="D174" s="17">
        <v>71</v>
      </c>
      <c r="E174" s="17" t="s">
        <v>95</v>
      </c>
      <c r="F174" s="17">
        <v>1</v>
      </c>
      <c r="G174" s="17" t="str">
        <f t="shared" si="2"/>
        <v>M0111-B-71-1</v>
      </c>
      <c r="H174" s="17">
        <v>206.11</v>
      </c>
      <c r="I174" s="17">
        <v>207.29</v>
      </c>
    </row>
    <row r="175" spans="1:9">
      <c r="A175" s="17">
        <v>501</v>
      </c>
      <c r="B175" s="17" t="s">
        <v>100</v>
      </c>
      <c r="C175" s="17" t="s">
        <v>94</v>
      </c>
      <c r="D175" s="17">
        <v>72</v>
      </c>
      <c r="E175" s="17" t="s">
        <v>95</v>
      </c>
      <c r="F175" s="17">
        <v>1</v>
      </c>
      <c r="G175" s="17" t="str">
        <f t="shared" si="2"/>
        <v>M0111-B-72-1</v>
      </c>
      <c r="H175" s="17">
        <v>207.33</v>
      </c>
      <c r="I175" s="17">
        <v>208.46</v>
      </c>
    </row>
    <row r="176" spans="1:9">
      <c r="A176" s="17">
        <v>501</v>
      </c>
      <c r="B176" s="17" t="s">
        <v>100</v>
      </c>
      <c r="C176" s="17" t="s">
        <v>94</v>
      </c>
      <c r="D176" s="17">
        <v>73</v>
      </c>
      <c r="E176" s="17" t="s">
        <v>95</v>
      </c>
      <c r="F176" s="17">
        <v>1</v>
      </c>
      <c r="G176" s="17" t="str">
        <f t="shared" si="2"/>
        <v>M0111-B-73-1</v>
      </c>
      <c r="H176" s="17">
        <v>209.83</v>
      </c>
      <c r="I176" s="17">
        <v>211.33</v>
      </c>
    </row>
    <row r="177" spans="1:9">
      <c r="A177" s="17">
        <v>501</v>
      </c>
      <c r="B177" s="17" t="s">
        <v>100</v>
      </c>
      <c r="C177" s="17" t="s">
        <v>94</v>
      </c>
      <c r="D177" s="17">
        <v>73</v>
      </c>
      <c r="E177" s="17" t="s">
        <v>95</v>
      </c>
      <c r="F177" s="17">
        <v>2</v>
      </c>
      <c r="G177" s="17" t="str">
        <f t="shared" si="2"/>
        <v>M0111-B-73-2</v>
      </c>
      <c r="H177" s="17">
        <v>211.33</v>
      </c>
      <c r="I177" s="17">
        <v>212.38</v>
      </c>
    </row>
    <row r="178" spans="1:9">
      <c r="A178" s="17">
        <v>501</v>
      </c>
      <c r="B178" s="17" t="s">
        <v>100</v>
      </c>
      <c r="C178" s="17" t="s">
        <v>94</v>
      </c>
      <c r="D178" s="17">
        <v>74</v>
      </c>
      <c r="E178" s="17" t="s">
        <v>95</v>
      </c>
      <c r="F178" s="17">
        <v>1</v>
      </c>
      <c r="G178" s="17" t="str">
        <f t="shared" si="2"/>
        <v>M0111-B-74-1</v>
      </c>
      <c r="H178" s="17">
        <v>212.88</v>
      </c>
      <c r="I178" s="17">
        <v>213.67</v>
      </c>
    </row>
    <row r="179" spans="1:9">
      <c r="A179" s="17">
        <v>501</v>
      </c>
      <c r="B179" s="17" t="s">
        <v>100</v>
      </c>
      <c r="C179" s="17" t="s">
        <v>94</v>
      </c>
      <c r="D179" s="17">
        <v>75</v>
      </c>
      <c r="E179" s="17" t="s">
        <v>95</v>
      </c>
      <c r="F179" s="17">
        <v>1</v>
      </c>
      <c r="G179" s="17" t="str">
        <f t="shared" si="2"/>
        <v>M0111-B-75-1</v>
      </c>
      <c r="H179" s="17">
        <v>215.33</v>
      </c>
      <c r="I179" s="17">
        <v>216.1</v>
      </c>
    </row>
    <row r="180" spans="1:9">
      <c r="A180" s="17">
        <v>501</v>
      </c>
      <c r="B180" s="17" t="s">
        <v>100</v>
      </c>
      <c r="C180" s="17" t="s">
        <v>94</v>
      </c>
      <c r="D180" s="17">
        <v>78</v>
      </c>
      <c r="E180" s="17" t="s">
        <v>95</v>
      </c>
      <c r="F180" s="17">
        <v>1</v>
      </c>
      <c r="G180" s="17" t="str">
        <f t="shared" si="2"/>
        <v>M0111-B-78-1</v>
      </c>
      <c r="H180" s="17">
        <v>219.93</v>
      </c>
      <c r="I180" s="17">
        <v>220.62</v>
      </c>
    </row>
    <row r="181" spans="1:9">
      <c r="A181" s="17">
        <v>501</v>
      </c>
      <c r="B181" s="17" t="s">
        <v>100</v>
      </c>
      <c r="C181" s="17" t="s">
        <v>94</v>
      </c>
      <c r="D181" s="17">
        <v>81</v>
      </c>
      <c r="E181" s="17" t="s">
        <v>95</v>
      </c>
      <c r="F181" s="17">
        <v>1</v>
      </c>
      <c r="G181" s="17" t="str">
        <f t="shared" si="2"/>
        <v>M0111-B-81-1</v>
      </c>
      <c r="H181" s="17">
        <v>224.09</v>
      </c>
      <c r="I181" s="17">
        <v>224.42</v>
      </c>
    </row>
    <row r="182" spans="1:9">
      <c r="A182" s="17">
        <v>501</v>
      </c>
      <c r="B182" s="17" t="s">
        <v>100</v>
      </c>
      <c r="C182" s="17" t="s">
        <v>94</v>
      </c>
      <c r="D182" s="17">
        <v>82</v>
      </c>
      <c r="E182" s="17" t="s">
        <v>95</v>
      </c>
      <c r="F182" s="17">
        <v>1</v>
      </c>
      <c r="G182" s="17" t="str">
        <f t="shared" si="2"/>
        <v>M0111-B-82-1</v>
      </c>
      <c r="H182" s="17">
        <v>224.58</v>
      </c>
      <c r="I182" s="17">
        <v>225.42</v>
      </c>
    </row>
    <row r="183" spans="1:9">
      <c r="A183" s="17">
        <v>501</v>
      </c>
      <c r="B183" s="17" t="s">
        <v>100</v>
      </c>
      <c r="C183" s="17" t="s">
        <v>94</v>
      </c>
      <c r="D183" s="17">
        <v>83</v>
      </c>
      <c r="E183" s="17" t="s">
        <v>95</v>
      </c>
      <c r="F183" s="17">
        <v>1</v>
      </c>
      <c r="G183" s="17" t="str">
        <f t="shared" si="2"/>
        <v>M0111-B-83-1</v>
      </c>
      <c r="H183" s="17">
        <v>224.58</v>
      </c>
      <c r="I183" s="17">
        <v>225.04</v>
      </c>
    </row>
    <row r="184" spans="1:9">
      <c r="A184" s="17">
        <v>501</v>
      </c>
      <c r="B184" s="17" t="s">
        <v>100</v>
      </c>
      <c r="C184" s="17" t="s">
        <v>94</v>
      </c>
      <c r="D184" s="17">
        <v>84</v>
      </c>
      <c r="E184" s="17" t="s">
        <v>95</v>
      </c>
      <c r="F184" s="17">
        <v>1</v>
      </c>
      <c r="G184" s="17" t="str">
        <f t="shared" si="2"/>
        <v>M0111-B-84-1</v>
      </c>
      <c r="H184" s="17">
        <v>227.63</v>
      </c>
      <c r="I184" s="17">
        <v>228.63</v>
      </c>
    </row>
    <row r="185" spans="1:9">
      <c r="A185" s="17">
        <v>501</v>
      </c>
      <c r="B185" s="17" t="s">
        <v>100</v>
      </c>
      <c r="C185" s="17" t="s">
        <v>94</v>
      </c>
      <c r="D185" s="17">
        <v>84</v>
      </c>
      <c r="E185" s="17" t="s">
        <v>95</v>
      </c>
      <c r="F185" s="17">
        <v>2</v>
      </c>
      <c r="G185" s="17" t="str">
        <f t="shared" si="2"/>
        <v>M0111-B-84-2</v>
      </c>
      <c r="H185" s="17">
        <v>228.63</v>
      </c>
      <c r="I185" s="17">
        <v>229.24</v>
      </c>
    </row>
    <row r="186" spans="1:9">
      <c r="A186" s="17">
        <v>501</v>
      </c>
      <c r="B186" s="17" t="s">
        <v>100</v>
      </c>
      <c r="C186" s="17" t="s">
        <v>94</v>
      </c>
      <c r="D186" s="17">
        <v>85</v>
      </c>
      <c r="E186" s="17" t="s">
        <v>95</v>
      </c>
      <c r="F186" s="17">
        <v>1</v>
      </c>
      <c r="G186" s="17" t="str">
        <f t="shared" si="2"/>
        <v>M0111-B-85-1</v>
      </c>
      <c r="H186" s="17">
        <v>230.68</v>
      </c>
      <c r="I186" s="17">
        <v>231.08</v>
      </c>
    </row>
    <row r="187" spans="1:9">
      <c r="A187" s="17">
        <v>501</v>
      </c>
      <c r="B187" s="17" t="s">
        <v>100</v>
      </c>
      <c r="C187" s="17" t="s">
        <v>94</v>
      </c>
      <c r="D187" s="17">
        <v>86</v>
      </c>
      <c r="E187" s="17" t="s">
        <v>95</v>
      </c>
      <c r="F187" s="17">
        <v>1</v>
      </c>
      <c r="G187" s="17" t="str">
        <f t="shared" si="2"/>
        <v>M0111-B-86-1</v>
      </c>
      <c r="H187" s="17">
        <v>230.68</v>
      </c>
      <c r="I187" s="17">
        <v>232.18</v>
      </c>
    </row>
    <row r="188" spans="1:9">
      <c r="A188" s="17">
        <v>501</v>
      </c>
      <c r="B188" s="17" t="s">
        <v>100</v>
      </c>
      <c r="C188" s="17" t="s">
        <v>94</v>
      </c>
      <c r="D188" s="17">
        <v>86</v>
      </c>
      <c r="E188" s="17" t="s">
        <v>95</v>
      </c>
      <c r="F188" s="17">
        <v>2</v>
      </c>
      <c r="G188" s="17" t="str">
        <f t="shared" si="2"/>
        <v>M0111-B-86-2</v>
      </c>
      <c r="H188" s="17">
        <v>232.18</v>
      </c>
      <c r="I188" s="17">
        <v>233.49</v>
      </c>
    </row>
    <row r="189" spans="1:9">
      <c r="A189" s="17">
        <v>501</v>
      </c>
      <c r="B189" s="17" t="s">
        <v>100</v>
      </c>
      <c r="C189" s="17" t="s">
        <v>94</v>
      </c>
      <c r="D189" s="17">
        <v>87</v>
      </c>
      <c r="E189" s="17" t="s">
        <v>95</v>
      </c>
      <c r="F189" s="17">
        <v>1</v>
      </c>
      <c r="G189" s="17" t="str">
        <f t="shared" si="2"/>
        <v>M0111-B-87-1</v>
      </c>
      <c r="H189" s="17">
        <v>233.73</v>
      </c>
      <c r="I189" s="17">
        <v>234.67</v>
      </c>
    </row>
    <row r="190" spans="1:9">
      <c r="A190" s="17">
        <v>501</v>
      </c>
      <c r="B190" s="17" t="s">
        <v>100</v>
      </c>
      <c r="C190" s="17" t="s">
        <v>94</v>
      </c>
      <c r="D190" s="17">
        <v>88</v>
      </c>
      <c r="E190" s="17" t="s">
        <v>95</v>
      </c>
      <c r="F190" s="17">
        <v>1</v>
      </c>
      <c r="G190" s="17" t="str">
        <f t="shared" si="2"/>
        <v>M0111-B-88-1</v>
      </c>
      <c r="H190" s="17">
        <v>234.53</v>
      </c>
      <c r="I190" s="17">
        <v>235.75</v>
      </c>
    </row>
    <row r="191" spans="1:9">
      <c r="A191" s="17">
        <v>501</v>
      </c>
      <c r="B191" s="17" t="s">
        <v>100</v>
      </c>
      <c r="C191" s="17" t="s">
        <v>94</v>
      </c>
      <c r="D191" s="17">
        <v>88</v>
      </c>
      <c r="E191" s="17" t="s">
        <v>95</v>
      </c>
      <c r="F191" s="17">
        <v>2</v>
      </c>
      <c r="G191" s="17" t="str">
        <f t="shared" si="2"/>
        <v>M0111-B-88-2</v>
      </c>
      <c r="H191" s="17">
        <v>235.75</v>
      </c>
      <c r="I191" s="17">
        <v>236.52</v>
      </c>
    </row>
    <row r="192" spans="1:9">
      <c r="A192" s="17">
        <v>501</v>
      </c>
      <c r="B192" s="17" t="s">
        <v>100</v>
      </c>
      <c r="C192" s="17" t="s">
        <v>94</v>
      </c>
      <c r="D192" s="17">
        <v>89</v>
      </c>
      <c r="E192" s="17" t="s">
        <v>95</v>
      </c>
      <c r="F192" s="17">
        <v>1</v>
      </c>
      <c r="G192" s="17" t="str">
        <f t="shared" si="2"/>
        <v>M0111-B-89-1</v>
      </c>
      <c r="H192" s="17">
        <v>237.58</v>
      </c>
      <c r="I192" s="17">
        <v>239.08</v>
      </c>
    </row>
    <row r="193" spans="1:9">
      <c r="A193" s="17">
        <v>501</v>
      </c>
      <c r="B193" s="17" t="s">
        <v>100</v>
      </c>
      <c r="C193" s="17" t="s">
        <v>94</v>
      </c>
      <c r="D193" s="17">
        <v>89</v>
      </c>
      <c r="E193" s="17" t="s">
        <v>95</v>
      </c>
      <c r="F193" s="17">
        <v>2</v>
      </c>
      <c r="G193" s="17" t="str">
        <f t="shared" si="2"/>
        <v>M0111-B-89-2</v>
      </c>
      <c r="H193" s="17">
        <v>239.08</v>
      </c>
      <c r="I193" s="17">
        <v>240.02</v>
      </c>
    </row>
    <row r="194" spans="1:9">
      <c r="A194" s="17">
        <v>501</v>
      </c>
      <c r="B194" s="17" t="s">
        <v>100</v>
      </c>
      <c r="C194" s="17" t="s">
        <v>94</v>
      </c>
      <c r="D194" s="17">
        <v>92</v>
      </c>
      <c r="E194" s="17" t="s">
        <v>95</v>
      </c>
      <c r="F194" s="17">
        <v>1</v>
      </c>
      <c r="G194" s="17" t="str">
        <f t="shared" si="2"/>
        <v>M0111-B-92-1</v>
      </c>
      <c r="H194" s="17">
        <v>244.93</v>
      </c>
      <c r="I194" s="17">
        <v>245.35</v>
      </c>
    </row>
    <row r="195" spans="1:9">
      <c r="A195" s="17">
        <v>501</v>
      </c>
      <c r="B195" s="17" t="s">
        <v>100</v>
      </c>
      <c r="C195" s="17" t="s">
        <v>94</v>
      </c>
      <c r="D195" s="17">
        <v>93</v>
      </c>
      <c r="E195" s="17" t="s">
        <v>95</v>
      </c>
      <c r="F195" s="17">
        <v>1</v>
      </c>
      <c r="G195" s="17" t="str">
        <f t="shared" si="2"/>
        <v>M0111-B-93-1</v>
      </c>
      <c r="H195" s="17">
        <v>245.28</v>
      </c>
      <c r="I195" s="17">
        <v>245.83</v>
      </c>
    </row>
    <row r="196" spans="1:9">
      <c r="A196" s="17">
        <v>501</v>
      </c>
      <c r="B196" s="17" t="s">
        <v>100</v>
      </c>
      <c r="C196" s="17" t="s">
        <v>94</v>
      </c>
      <c r="D196" s="17">
        <v>93</v>
      </c>
      <c r="E196" s="17" t="s">
        <v>95</v>
      </c>
      <c r="F196" s="17">
        <v>2</v>
      </c>
      <c r="G196" s="17" t="str">
        <f t="shared" si="2"/>
        <v>M0111-B-93-2</v>
      </c>
      <c r="H196" s="17">
        <v>245.83</v>
      </c>
      <c r="I196" s="17">
        <v>245.92</v>
      </c>
    </row>
    <row r="197" spans="1:9">
      <c r="A197" s="17">
        <v>501</v>
      </c>
      <c r="B197" s="17" t="s">
        <v>100</v>
      </c>
      <c r="C197" s="17" t="s">
        <v>94</v>
      </c>
      <c r="D197" s="17">
        <v>94</v>
      </c>
      <c r="E197" s="17" t="s">
        <v>95</v>
      </c>
      <c r="F197" s="17">
        <v>1</v>
      </c>
      <c r="G197" s="17" t="str">
        <f t="shared" si="2"/>
        <v>M0111-B-94-1</v>
      </c>
      <c r="H197" s="17">
        <v>246.73</v>
      </c>
      <c r="I197" s="17">
        <v>248.24</v>
      </c>
    </row>
    <row r="198" spans="1:9">
      <c r="A198" s="17">
        <v>501</v>
      </c>
      <c r="B198" s="17" t="s">
        <v>100</v>
      </c>
      <c r="C198" s="17" t="s">
        <v>94</v>
      </c>
      <c r="D198" s="17">
        <v>94</v>
      </c>
      <c r="E198" s="17" t="s">
        <v>95</v>
      </c>
      <c r="F198" s="17">
        <v>2</v>
      </c>
      <c r="G198" s="17" t="str">
        <f t="shared" si="2"/>
        <v>M0111-B-94-2</v>
      </c>
      <c r="H198" s="17">
        <v>248.24</v>
      </c>
      <c r="I198" s="17">
        <v>249.44</v>
      </c>
    </row>
    <row r="199" spans="1:9">
      <c r="A199" s="17">
        <v>501</v>
      </c>
      <c r="B199" s="17" t="s">
        <v>100</v>
      </c>
      <c r="C199" s="17" t="s">
        <v>94</v>
      </c>
      <c r="D199" s="17">
        <v>94</v>
      </c>
      <c r="E199" s="17" t="s">
        <v>95</v>
      </c>
      <c r="F199" s="17">
        <v>3</v>
      </c>
      <c r="G199" s="17" t="str">
        <f t="shared" si="2"/>
        <v>M0111-B-94-3</v>
      </c>
      <c r="H199" s="17">
        <v>249.44</v>
      </c>
      <c r="I199" s="17">
        <v>249.89</v>
      </c>
    </row>
    <row r="200" spans="1:9">
      <c r="A200" s="17">
        <v>501</v>
      </c>
      <c r="B200" s="17" t="s">
        <v>100</v>
      </c>
      <c r="C200" s="17" t="s">
        <v>94</v>
      </c>
      <c r="D200" s="17">
        <v>95</v>
      </c>
      <c r="E200" s="17" t="s">
        <v>95</v>
      </c>
      <c r="F200" s="17">
        <v>1</v>
      </c>
      <c r="G200" s="17" t="str">
        <f t="shared" si="2"/>
        <v>M0111-B-95-1</v>
      </c>
      <c r="H200" s="17">
        <v>249.78</v>
      </c>
      <c r="I200" s="17">
        <v>250.78</v>
      </c>
    </row>
    <row r="201" spans="1:9">
      <c r="A201" s="17">
        <v>501</v>
      </c>
      <c r="B201" s="17" t="s">
        <v>100</v>
      </c>
      <c r="C201" s="17" t="s">
        <v>94</v>
      </c>
      <c r="D201" s="17">
        <v>95</v>
      </c>
      <c r="E201" s="17" t="s">
        <v>95</v>
      </c>
      <c r="F201" s="17">
        <v>2</v>
      </c>
      <c r="G201" s="17" t="str">
        <f t="shared" si="2"/>
        <v>M0111-B-95-2</v>
      </c>
      <c r="H201" s="17">
        <v>250.78</v>
      </c>
      <c r="I201" s="17">
        <v>251.32</v>
      </c>
    </row>
    <row r="202" spans="1:9">
      <c r="A202" s="17">
        <v>501</v>
      </c>
      <c r="B202" s="17" t="s">
        <v>100</v>
      </c>
      <c r="C202" s="17" t="s">
        <v>94</v>
      </c>
      <c r="D202" s="17">
        <v>96</v>
      </c>
      <c r="E202" s="17" t="s">
        <v>95</v>
      </c>
      <c r="F202" s="17">
        <v>1</v>
      </c>
      <c r="G202" s="17" t="str">
        <f t="shared" si="2"/>
        <v>M0111-B-96-1</v>
      </c>
      <c r="H202" s="17">
        <v>251.53</v>
      </c>
      <c r="I202" s="17">
        <v>252.38</v>
      </c>
    </row>
    <row r="203" spans="1:9">
      <c r="A203" s="17">
        <v>501</v>
      </c>
      <c r="B203" s="17" t="s">
        <v>100</v>
      </c>
      <c r="C203" s="17" t="s">
        <v>94</v>
      </c>
      <c r="D203" s="17">
        <v>97</v>
      </c>
      <c r="E203" s="17" t="s">
        <v>95</v>
      </c>
      <c r="F203" s="17">
        <v>1</v>
      </c>
      <c r="G203" s="17" t="str">
        <f t="shared" si="2"/>
        <v>M0111-B-97-1</v>
      </c>
      <c r="H203" s="17">
        <v>252.83</v>
      </c>
      <c r="I203" s="17">
        <v>254.16</v>
      </c>
    </row>
    <row r="204" spans="1:9">
      <c r="A204" s="17">
        <v>501</v>
      </c>
      <c r="B204" s="17" t="s">
        <v>100</v>
      </c>
      <c r="C204" s="17" t="s">
        <v>94</v>
      </c>
      <c r="D204" s="17">
        <v>98</v>
      </c>
      <c r="E204" s="17" t="s">
        <v>95</v>
      </c>
      <c r="F204" s="17">
        <v>1</v>
      </c>
      <c r="G204" s="17" t="str">
        <f t="shared" si="2"/>
        <v>M0111-B-98-1</v>
      </c>
      <c r="H204" s="17">
        <v>255.53</v>
      </c>
      <c r="I204" s="17">
        <v>256.27</v>
      </c>
    </row>
    <row r="205" spans="1:9">
      <c r="A205" s="17">
        <v>501</v>
      </c>
      <c r="B205" s="17" t="s">
        <v>100</v>
      </c>
      <c r="C205" s="17" t="s">
        <v>94</v>
      </c>
      <c r="D205" s="17">
        <v>99</v>
      </c>
      <c r="E205" s="17" t="s">
        <v>95</v>
      </c>
      <c r="F205" s="17">
        <v>1</v>
      </c>
      <c r="G205" s="17" t="str">
        <f t="shared" si="2"/>
        <v>M0111-B-99-1</v>
      </c>
      <c r="H205" s="17">
        <v>256.27999999999997</v>
      </c>
      <c r="I205" s="17">
        <v>257.2</v>
      </c>
    </row>
    <row r="206" spans="1:9">
      <c r="A206" s="17">
        <v>501</v>
      </c>
      <c r="B206" s="17" t="s">
        <v>100</v>
      </c>
      <c r="C206" s="17" t="s">
        <v>94</v>
      </c>
      <c r="D206" s="17">
        <v>100</v>
      </c>
      <c r="E206" s="17" t="s">
        <v>95</v>
      </c>
      <c r="F206" s="17">
        <v>1</v>
      </c>
      <c r="G206" s="17" t="str">
        <f t="shared" si="2"/>
        <v>M0111-B-100-1</v>
      </c>
      <c r="H206" s="17">
        <v>258.93</v>
      </c>
      <c r="I206" s="17">
        <v>260.43</v>
      </c>
    </row>
    <row r="207" spans="1:9">
      <c r="A207" s="17">
        <v>501</v>
      </c>
      <c r="B207" s="17" t="s">
        <v>100</v>
      </c>
      <c r="C207" s="17" t="s">
        <v>94</v>
      </c>
      <c r="D207" s="17">
        <v>100</v>
      </c>
      <c r="E207" s="17" t="s">
        <v>95</v>
      </c>
      <c r="F207" s="17">
        <v>2</v>
      </c>
      <c r="G207" s="17" t="str">
        <f t="shared" si="2"/>
        <v>M0111-B-100-2</v>
      </c>
      <c r="H207" s="17">
        <v>260.43</v>
      </c>
      <c r="I207" s="17">
        <v>261.02</v>
      </c>
    </row>
    <row r="208" spans="1:9">
      <c r="A208" s="17">
        <v>501</v>
      </c>
      <c r="B208" s="17" t="s">
        <v>100</v>
      </c>
      <c r="C208" s="17" t="s">
        <v>94</v>
      </c>
      <c r="D208" s="17">
        <v>101</v>
      </c>
      <c r="E208" s="17" t="s">
        <v>95</v>
      </c>
      <c r="F208" s="17">
        <v>1</v>
      </c>
      <c r="G208" s="17" t="str">
        <f t="shared" si="2"/>
        <v>M0111-B-101-1</v>
      </c>
      <c r="H208" s="17">
        <v>261.98</v>
      </c>
      <c r="I208" s="17">
        <v>263.45999999999998</v>
      </c>
    </row>
    <row r="209" spans="1:9">
      <c r="A209" s="17">
        <v>501</v>
      </c>
      <c r="B209" s="17" t="s">
        <v>100</v>
      </c>
      <c r="C209" s="17" t="s">
        <v>94</v>
      </c>
      <c r="D209" s="17">
        <v>101</v>
      </c>
      <c r="E209" s="17" t="s">
        <v>95</v>
      </c>
      <c r="F209" s="17">
        <v>2</v>
      </c>
      <c r="G209" s="17" t="str">
        <f t="shared" si="2"/>
        <v>M0111-B-101-2</v>
      </c>
      <c r="H209" s="17">
        <v>263.45999999999998</v>
      </c>
      <c r="I209" s="17">
        <v>264.3</v>
      </c>
    </row>
    <row r="210" spans="1:9">
      <c r="A210" s="17">
        <v>501</v>
      </c>
      <c r="B210" s="17" t="s">
        <v>100</v>
      </c>
      <c r="C210" s="17" t="s">
        <v>94</v>
      </c>
      <c r="D210" s="17">
        <v>102</v>
      </c>
      <c r="E210" s="17" t="s">
        <v>95</v>
      </c>
      <c r="F210" s="17">
        <v>1</v>
      </c>
      <c r="G210" s="17" t="str">
        <f t="shared" si="2"/>
        <v>M0111-B-102-1</v>
      </c>
      <c r="H210" s="17">
        <v>265.02999999999997</v>
      </c>
      <c r="I210" s="17">
        <v>265.93</v>
      </c>
    </row>
    <row r="211" spans="1:9">
      <c r="A211" s="17">
        <v>501</v>
      </c>
      <c r="B211" s="17" t="s">
        <v>100</v>
      </c>
      <c r="C211" s="17" t="s">
        <v>94</v>
      </c>
      <c r="D211" s="17">
        <v>103</v>
      </c>
      <c r="E211" s="17" t="s">
        <v>95</v>
      </c>
      <c r="F211" s="17">
        <v>1</v>
      </c>
      <c r="G211" s="17" t="str">
        <f t="shared" si="2"/>
        <v>M0111-B-103-1</v>
      </c>
      <c r="H211" s="17">
        <v>268.08</v>
      </c>
      <c r="I211" s="17">
        <v>268.83999999999997</v>
      </c>
    </row>
    <row r="212" spans="1:9">
      <c r="A212" s="17">
        <v>501</v>
      </c>
      <c r="B212" s="17" t="s">
        <v>100</v>
      </c>
      <c r="C212" s="17" t="s">
        <v>94</v>
      </c>
      <c r="D212" s="17">
        <v>103</v>
      </c>
      <c r="E212" s="17" t="s">
        <v>95</v>
      </c>
      <c r="F212" s="17">
        <v>2</v>
      </c>
      <c r="G212" s="17" t="str">
        <f t="shared" si="2"/>
        <v>M0111-B-103-2</v>
      </c>
      <c r="H212" s="17">
        <v>268.83999999999997</v>
      </c>
      <c r="I212" s="17">
        <v>270.33999999999997</v>
      </c>
    </row>
    <row r="213" spans="1:9">
      <c r="A213" s="17">
        <v>501</v>
      </c>
      <c r="B213" s="17" t="s">
        <v>100</v>
      </c>
      <c r="C213" s="17" t="s">
        <v>94</v>
      </c>
      <c r="D213" s="17">
        <v>103</v>
      </c>
      <c r="E213" s="17" t="s">
        <v>95</v>
      </c>
      <c r="F213" s="17">
        <v>3</v>
      </c>
      <c r="G213" s="17" t="str">
        <f t="shared" si="2"/>
        <v>M0111-B-103-3</v>
      </c>
      <c r="H213" s="17">
        <v>270.33999999999997</v>
      </c>
      <c r="I213" s="17">
        <v>271.13</v>
      </c>
    </row>
    <row r="214" spans="1:9">
      <c r="A214" s="17">
        <v>501</v>
      </c>
      <c r="B214" s="17" t="s">
        <v>100</v>
      </c>
      <c r="C214" s="17" t="s">
        <v>94</v>
      </c>
      <c r="D214" s="17">
        <v>103</v>
      </c>
      <c r="E214" s="17" t="s">
        <v>95</v>
      </c>
      <c r="F214" s="17">
        <v>4</v>
      </c>
      <c r="G214" s="17" t="str">
        <f t="shared" si="2"/>
        <v>M0111-B-103-4</v>
      </c>
      <c r="H214" s="17">
        <v>271.13</v>
      </c>
      <c r="I214" s="17">
        <v>271.2</v>
      </c>
    </row>
    <row r="215" spans="1:9">
      <c r="A215" s="17">
        <v>501</v>
      </c>
      <c r="B215" s="17" t="s">
        <v>100</v>
      </c>
      <c r="C215" s="17" t="s">
        <v>94</v>
      </c>
      <c r="D215" s="17">
        <v>104</v>
      </c>
      <c r="E215" s="17" t="s">
        <v>95</v>
      </c>
      <c r="F215" s="17">
        <v>1</v>
      </c>
      <c r="G215" s="17" t="str">
        <f t="shared" si="2"/>
        <v>M0111-B-104-1</v>
      </c>
      <c r="H215" s="17">
        <v>271.13</v>
      </c>
      <c r="I215" s="17">
        <v>271.42</v>
      </c>
    </row>
    <row r="216" spans="1:9">
      <c r="A216" s="17">
        <v>501</v>
      </c>
      <c r="B216" s="17" t="s">
        <v>100</v>
      </c>
      <c r="C216" s="17" t="s">
        <v>94</v>
      </c>
      <c r="D216" s="17">
        <v>104</v>
      </c>
      <c r="E216" s="17" t="s">
        <v>95</v>
      </c>
      <c r="F216" s="17">
        <v>2</v>
      </c>
      <c r="G216" s="17" t="str">
        <f t="shared" si="2"/>
        <v>M0111-B-104-2</v>
      </c>
      <c r="H216" s="17">
        <v>271.42</v>
      </c>
      <c r="I216" s="17">
        <v>272.92</v>
      </c>
    </row>
    <row r="217" spans="1:9">
      <c r="A217" s="17">
        <v>501</v>
      </c>
      <c r="B217" s="17" t="s">
        <v>100</v>
      </c>
      <c r="C217" s="17" t="s">
        <v>94</v>
      </c>
      <c r="D217" s="17">
        <v>104</v>
      </c>
      <c r="E217" s="17" t="s">
        <v>95</v>
      </c>
      <c r="F217" s="17">
        <v>3</v>
      </c>
      <c r="G217" s="17" t="str">
        <f t="shared" si="2"/>
        <v>M0111-B-104-3</v>
      </c>
      <c r="H217" s="17">
        <v>272.92</v>
      </c>
      <c r="I217" s="17">
        <v>273.89999999999998</v>
      </c>
    </row>
    <row r="218" spans="1:9">
      <c r="A218" s="17">
        <v>501</v>
      </c>
      <c r="B218" s="17" t="s">
        <v>100</v>
      </c>
      <c r="C218" s="17" t="s">
        <v>94</v>
      </c>
      <c r="D218" s="17">
        <v>105</v>
      </c>
      <c r="E218" s="17" t="s">
        <v>95</v>
      </c>
      <c r="F218" s="17">
        <v>1</v>
      </c>
      <c r="G218" s="17" t="str">
        <f t="shared" si="2"/>
        <v>M0111-B-105-1</v>
      </c>
      <c r="H218" s="17">
        <v>274.18</v>
      </c>
      <c r="I218" s="17">
        <v>274.66000000000003</v>
      </c>
    </row>
    <row r="219" spans="1:9">
      <c r="A219" s="17">
        <v>501</v>
      </c>
      <c r="B219" s="17" t="s">
        <v>100</v>
      </c>
      <c r="C219" s="17" t="s">
        <v>94</v>
      </c>
      <c r="D219" s="17">
        <v>106</v>
      </c>
      <c r="E219" s="17" t="s">
        <v>95</v>
      </c>
      <c r="F219" s="17">
        <v>1</v>
      </c>
      <c r="G219" s="17" t="str">
        <f t="shared" si="2"/>
        <v>M0111-B-106-1</v>
      </c>
      <c r="H219" s="17">
        <v>275.18</v>
      </c>
      <c r="I219" s="17">
        <v>276.68</v>
      </c>
    </row>
    <row r="220" spans="1:9">
      <c r="A220" s="17">
        <v>501</v>
      </c>
      <c r="B220" s="17" t="s">
        <v>100</v>
      </c>
      <c r="C220" s="17" t="s">
        <v>94</v>
      </c>
      <c r="D220" s="17">
        <v>106</v>
      </c>
      <c r="E220" s="17" t="s">
        <v>95</v>
      </c>
      <c r="F220" s="17">
        <v>2</v>
      </c>
      <c r="G220" s="17" t="str">
        <f t="shared" si="2"/>
        <v>M0111-B-106-2</v>
      </c>
      <c r="H220" s="17">
        <v>276.68</v>
      </c>
      <c r="I220" s="17">
        <v>277.47000000000003</v>
      </c>
    </row>
    <row r="221" spans="1:9">
      <c r="A221" s="17">
        <v>501</v>
      </c>
      <c r="B221" s="17" t="s">
        <v>100</v>
      </c>
      <c r="C221" s="17" t="s">
        <v>94</v>
      </c>
      <c r="D221" s="17">
        <v>107</v>
      </c>
      <c r="E221" s="17" t="s">
        <v>95</v>
      </c>
      <c r="F221" s="17">
        <v>1</v>
      </c>
      <c r="G221" s="17" t="str">
        <f t="shared" si="2"/>
        <v>M0111-B-107-1</v>
      </c>
      <c r="H221" s="17">
        <v>277.23</v>
      </c>
      <c r="I221" s="17">
        <v>278.19</v>
      </c>
    </row>
    <row r="222" spans="1:9">
      <c r="A222" s="17">
        <v>501</v>
      </c>
      <c r="B222" s="17" t="s">
        <v>100</v>
      </c>
      <c r="C222" s="17" t="s">
        <v>94</v>
      </c>
      <c r="D222" s="17">
        <v>108</v>
      </c>
      <c r="E222" s="17" t="s">
        <v>95</v>
      </c>
      <c r="F222" s="17">
        <v>1</v>
      </c>
      <c r="G222" s="17" t="str">
        <f t="shared" si="2"/>
        <v>M0111-B-108-1</v>
      </c>
      <c r="H222" s="17">
        <v>278.13</v>
      </c>
      <c r="I222" s="17">
        <v>278.51</v>
      </c>
    </row>
    <row r="223" spans="1:9">
      <c r="A223" s="17">
        <v>501</v>
      </c>
      <c r="B223" s="17" t="s">
        <v>100</v>
      </c>
      <c r="C223" s="17" t="s">
        <v>94</v>
      </c>
      <c r="D223" s="17">
        <v>109</v>
      </c>
      <c r="E223" s="17" t="s">
        <v>95</v>
      </c>
      <c r="F223" s="17">
        <v>1</v>
      </c>
      <c r="G223" s="17" t="str">
        <f t="shared" si="2"/>
        <v>M0111-B-109-1</v>
      </c>
      <c r="H223" s="17">
        <v>278.38</v>
      </c>
      <c r="I223" s="17">
        <v>278.98</v>
      </c>
    </row>
    <row r="224" spans="1:9">
      <c r="A224" s="17">
        <v>501</v>
      </c>
      <c r="B224" s="17" t="s">
        <v>100</v>
      </c>
      <c r="C224" s="17" t="s">
        <v>94</v>
      </c>
      <c r="D224" s="17">
        <v>110</v>
      </c>
      <c r="E224" s="17" t="s">
        <v>95</v>
      </c>
      <c r="F224" s="17">
        <v>1</v>
      </c>
      <c r="G224" s="17" t="str">
        <f t="shared" si="2"/>
        <v>M0111-B-110-1</v>
      </c>
      <c r="H224" s="17">
        <v>280.27999999999997</v>
      </c>
      <c r="I224" s="17">
        <v>280.5</v>
      </c>
    </row>
    <row r="225" spans="1:9">
      <c r="A225" s="17">
        <v>501</v>
      </c>
      <c r="B225" s="17" t="s">
        <v>100</v>
      </c>
      <c r="C225" s="17" t="s">
        <v>94</v>
      </c>
      <c r="D225" s="17">
        <v>113</v>
      </c>
      <c r="E225" s="17" t="s">
        <v>95</v>
      </c>
      <c r="F225" s="17">
        <v>1</v>
      </c>
      <c r="G225" s="17" t="str">
        <f t="shared" si="2"/>
        <v>M0111-B-113-1</v>
      </c>
      <c r="H225" s="17">
        <v>281.52999999999997</v>
      </c>
      <c r="I225" s="17">
        <v>282.69</v>
      </c>
    </row>
    <row r="226" spans="1:9">
      <c r="A226" s="17">
        <v>501</v>
      </c>
      <c r="B226" s="17" t="s">
        <v>100</v>
      </c>
      <c r="C226" s="17" t="s">
        <v>94</v>
      </c>
      <c r="D226" s="17">
        <v>114</v>
      </c>
      <c r="E226" s="17" t="s">
        <v>95</v>
      </c>
      <c r="F226" s="17">
        <v>1</v>
      </c>
      <c r="G226" s="17" t="str">
        <f t="shared" si="2"/>
        <v>M0111-B-114-1</v>
      </c>
      <c r="H226" s="17">
        <v>281.52999999999997</v>
      </c>
      <c r="I226" s="17">
        <v>282.54000000000002</v>
      </c>
    </row>
    <row r="227" spans="1:9">
      <c r="A227" s="17">
        <v>501</v>
      </c>
      <c r="B227" s="17" t="s">
        <v>100</v>
      </c>
      <c r="C227" s="17" t="s">
        <v>94</v>
      </c>
      <c r="D227" s="17">
        <v>114</v>
      </c>
      <c r="E227" s="17" t="s">
        <v>95</v>
      </c>
      <c r="F227" s="17">
        <v>1</v>
      </c>
      <c r="G227" s="17" t="str">
        <f t="shared" si="2"/>
        <v>M0111-B-114-1</v>
      </c>
      <c r="H227" s="17">
        <v>282.54000000000002</v>
      </c>
      <c r="I227" s="17">
        <v>283.3</v>
      </c>
    </row>
    <row r="228" spans="1:9">
      <c r="A228" s="17">
        <v>501</v>
      </c>
      <c r="B228" s="17" t="s">
        <v>100</v>
      </c>
      <c r="C228" s="17" t="s">
        <v>94</v>
      </c>
      <c r="D228" s="17">
        <v>115</v>
      </c>
      <c r="E228" s="17" t="s">
        <v>95</v>
      </c>
      <c r="F228" s="17">
        <v>2</v>
      </c>
      <c r="G228" s="17" t="str">
        <f t="shared" si="2"/>
        <v>M0111-B-115-2</v>
      </c>
      <c r="H228" s="17">
        <v>284.93</v>
      </c>
      <c r="I228" s="17">
        <v>286.38</v>
      </c>
    </row>
    <row r="229" spans="1:9">
      <c r="A229" s="17">
        <v>501</v>
      </c>
      <c r="B229" s="17" t="s">
        <v>100</v>
      </c>
      <c r="C229" s="17" t="s">
        <v>94</v>
      </c>
      <c r="D229" s="17">
        <v>115</v>
      </c>
      <c r="E229" s="17" t="s">
        <v>95</v>
      </c>
      <c r="F229" s="17">
        <v>1</v>
      </c>
      <c r="G229" s="17" t="str">
        <f t="shared" si="2"/>
        <v>M0111-B-115-1</v>
      </c>
      <c r="H229" s="17">
        <v>284.93</v>
      </c>
      <c r="I229" s="17">
        <v>286.38</v>
      </c>
    </row>
    <row r="230" spans="1:9">
      <c r="A230" s="17">
        <v>501</v>
      </c>
      <c r="B230" s="17" t="s">
        <v>100</v>
      </c>
      <c r="C230" s="17" t="s">
        <v>94</v>
      </c>
      <c r="D230" s="17">
        <v>116</v>
      </c>
      <c r="E230" s="17" t="s">
        <v>95</v>
      </c>
      <c r="F230" s="17">
        <v>2</v>
      </c>
      <c r="G230" s="17" t="str">
        <f t="shared" si="2"/>
        <v>M0111-B-116-2</v>
      </c>
      <c r="H230" s="17">
        <v>286.48</v>
      </c>
      <c r="I230" s="17">
        <v>287.99</v>
      </c>
    </row>
    <row r="231" spans="1:9">
      <c r="A231" s="17">
        <v>501</v>
      </c>
      <c r="B231" s="17" t="s">
        <v>100</v>
      </c>
      <c r="C231" s="17" t="s">
        <v>94</v>
      </c>
      <c r="D231" s="17">
        <v>116</v>
      </c>
      <c r="E231" s="17" t="s">
        <v>95</v>
      </c>
      <c r="F231" s="17">
        <v>1</v>
      </c>
      <c r="G231" s="17" t="str">
        <f t="shared" si="2"/>
        <v>M0111-B-116-1</v>
      </c>
      <c r="H231" s="17">
        <v>287.99</v>
      </c>
      <c r="I231" s="17">
        <v>288.62</v>
      </c>
    </row>
    <row r="232" spans="1:9">
      <c r="A232" s="17">
        <v>501</v>
      </c>
      <c r="B232" s="17" t="s">
        <v>100</v>
      </c>
      <c r="C232" s="17" t="s">
        <v>94</v>
      </c>
      <c r="D232" s="17">
        <v>116</v>
      </c>
      <c r="E232" s="17" t="s">
        <v>95</v>
      </c>
      <c r="F232" s="17">
        <v>2</v>
      </c>
      <c r="G232" s="17" t="str">
        <f t="shared" si="2"/>
        <v>M0111-B-116-2</v>
      </c>
      <c r="H232" s="17">
        <v>288.62</v>
      </c>
      <c r="I232" s="17">
        <v>288.77999999999997</v>
      </c>
    </row>
    <row r="233" spans="1:9">
      <c r="A233" s="17">
        <v>501</v>
      </c>
      <c r="B233" s="17" t="s">
        <v>100</v>
      </c>
      <c r="C233" s="17" t="s">
        <v>94</v>
      </c>
      <c r="D233" s="17">
        <v>117</v>
      </c>
      <c r="E233" s="17" t="s">
        <v>95</v>
      </c>
      <c r="F233" s="17">
        <v>3</v>
      </c>
      <c r="G233" s="17" t="str">
        <f t="shared" si="2"/>
        <v>M0111-B-117-3</v>
      </c>
      <c r="H233" s="17">
        <v>289.33</v>
      </c>
      <c r="I233" s="17">
        <v>290.29000000000002</v>
      </c>
    </row>
    <row r="234" spans="1:9">
      <c r="A234" s="17">
        <v>501</v>
      </c>
      <c r="B234" s="17" t="s">
        <v>100</v>
      </c>
      <c r="C234" s="17" t="s">
        <v>94</v>
      </c>
      <c r="D234" s="17">
        <v>119</v>
      </c>
      <c r="E234" s="17" t="s">
        <v>95</v>
      </c>
      <c r="F234" s="17">
        <v>1</v>
      </c>
      <c r="G234" s="17" t="str">
        <f t="shared" si="2"/>
        <v>M0111-B-119-1</v>
      </c>
      <c r="H234" s="17">
        <v>292.83</v>
      </c>
      <c r="I234" s="17">
        <v>293.49</v>
      </c>
    </row>
    <row r="235" spans="1:9">
      <c r="A235" s="17">
        <v>501</v>
      </c>
      <c r="B235" s="17" t="s">
        <v>100</v>
      </c>
      <c r="C235" s="17" t="s">
        <v>94</v>
      </c>
      <c r="D235" s="17">
        <v>120</v>
      </c>
      <c r="E235" s="17" t="s">
        <v>95</v>
      </c>
      <c r="F235" s="17">
        <v>1</v>
      </c>
      <c r="G235" s="17" t="str">
        <f t="shared" si="2"/>
        <v>M0111-B-120-1</v>
      </c>
      <c r="H235" s="17">
        <v>295.63</v>
      </c>
      <c r="I235" s="17">
        <v>296.70999999999998</v>
      </c>
    </row>
    <row r="236" spans="1:9">
      <c r="A236" s="17">
        <v>501</v>
      </c>
      <c r="B236" s="17" t="s">
        <v>100</v>
      </c>
      <c r="C236" s="17" t="s">
        <v>94</v>
      </c>
      <c r="D236" s="17">
        <v>121</v>
      </c>
      <c r="E236" s="17" t="s">
        <v>95</v>
      </c>
      <c r="F236" s="17">
        <v>1</v>
      </c>
      <c r="G236" s="17" t="str">
        <f t="shared" si="2"/>
        <v>M0111-B-121-1</v>
      </c>
      <c r="H236" s="17">
        <v>298.68</v>
      </c>
      <c r="I236" s="17">
        <v>299.68</v>
      </c>
    </row>
    <row r="237" spans="1:9">
      <c r="A237" s="17">
        <v>501</v>
      </c>
      <c r="B237" s="17" t="s">
        <v>100</v>
      </c>
      <c r="C237" s="17" t="s">
        <v>94</v>
      </c>
      <c r="D237" s="17">
        <v>121</v>
      </c>
      <c r="E237" s="17" t="s">
        <v>95</v>
      </c>
      <c r="F237" s="17">
        <v>1</v>
      </c>
      <c r="G237" s="17" t="str">
        <f t="shared" si="2"/>
        <v>M0111-B-121-1</v>
      </c>
      <c r="H237" s="17">
        <v>299.68</v>
      </c>
      <c r="I237" s="17">
        <v>300.33999999999997</v>
      </c>
    </row>
    <row r="238" spans="1:9">
      <c r="A238" s="17">
        <v>501</v>
      </c>
      <c r="B238" s="17" t="s">
        <v>100</v>
      </c>
      <c r="C238" s="17" t="s">
        <v>94</v>
      </c>
      <c r="D238" s="17">
        <v>122</v>
      </c>
      <c r="E238" s="17" t="s">
        <v>95</v>
      </c>
      <c r="F238" s="17">
        <v>2</v>
      </c>
      <c r="G238" s="17" t="str">
        <f t="shared" si="2"/>
        <v>M0111-B-122-2</v>
      </c>
      <c r="H238" s="17">
        <v>300.23</v>
      </c>
      <c r="I238" s="17">
        <v>301.14</v>
      </c>
    </row>
    <row r="239" spans="1:9">
      <c r="A239" s="17">
        <v>501</v>
      </c>
      <c r="B239" s="17" t="s">
        <v>100</v>
      </c>
      <c r="C239" s="17" t="s">
        <v>94</v>
      </c>
      <c r="D239" s="17">
        <v>122</v>
      </c>
      <c r="E239" s="17" t="s">
        <v>95</v>
      </c>
      <c r="F239" s="17">
        <v>1</v>
      </c>
      <c r="G239" s="17" t="str">
        <f t="shared" si="2"/>
        <v>M0111-B-122-1</v>
      </c>
      <c r="H239" s="17">
        <v>301.14</v>
      </c>
      <c r="I239" s="17">
        <v>301.64999999999998</v>
      </c>
    </row>
    <row r="240" spans="1:9">
      <c r="A240" s="17">
        <v>501</v>
      </c>
      <c r="B240" s="17" t="s">
        <v>100</v>
      </c>
      <c r="C240" s="17" t="s">
        <v>94</v>
      </c>
      <c r="D240" s="17">
        <v>125</v>
      </c>
      <c r="E240" s="17" t="s">
        <v>95</v>
      </c>
      <c r="F240" s="17">
        <v>2</v>
      </c>
      <c r="G240" s="17" t="str">
        <f t="shared" si="2"/>
        <v>M0111-B-125-2</v>
      </c>
      <c r="H240" s="17">
        <v>306.33</v>
      </c>
      <c r="I240" s="17">
        <v>306.8</v>
      </c>
    </row>
    <row r="241" spans="1:9">
      <c r="A241" s="17">
        <v>501</v>
      </c>
      <c r="B241" s="17" t="s">
        <v>100</v>
      </c>
      <c r="C241" s="17" t="s">
        <v>94</v>
      </c>
      <c r="D241" s="17">
        <v>126</v>
      </c>
      <c r="E241" s="17" t="s">
        <v>95</v>
      </c>
      <c r="F241" s="17">
        <v>1</v>
      </c>
      <c r="G241" s="17" t="str">
        <f t="shared" si="2"/>
        <v>M0111-B-126-1</v>
      </c>
      <c r="H241" s="17">
        <v>307.08</v>
      </c>
      <c r="I241" s="17">
        <v>307.5</v>
      </c>
    </row>
    <row r="242" spans="1:9">
      <c r="A242" s="17">
        <v>501</v>
      </c>
      <c r="B242" s="17" t="s">
        <v>100</v>
      </c>
      <c r="C242" s="17" t="s">
        <v>94</v>
      </c>
      <c r="D242" s="17">
        <v>127</v>
      </c>
      <c r="E242" s="17" t="s">
        <v>95</v>
      </c>
      <c r="F242" s="17">
        <v>1</v>
      </c>
      <c r="G242" s="17" t="str">
        <f t="shared" si="2"/>
        <v>M0111-B-127-1</v>
      </c>
      <c r="H242" s="17">
        <v>310.13</v>
      </c>
      <c r="I242" s="17">
        <v>311.13</v>
      </c>
    </row>
    <row r="243" spans="1:9">
      <c r="A243" s="17">
        <v>501</v>
      </c>
      <c r="B243" s="17" t="s">
        <v>100</v>
      </c>
      <c r="C243" s="17" t="s">
        <v>94</v>
      </c>
      <c r="D243" s="17">
        <v>127</v>
      </c>
      <c r="E243" s="17" t="s">
        <v>95</v>
      </c>
      <c r="F243" s="17">
        <v>1</v>
      </c>
      <c r="G243" s="17" t="str">
        <f t="shared" si="2"/>
        <v>M0111-B-127-1</v>
      </c>
      <c r="H243" s="17">
        <v>311.13</v>
      </c>
      <c r="I243" s="17">
        <v>311.97000000000003</v>
      </c>
    </row>
    <row r="244" spans="1:9">
      <c r="A244" s="17">
        <v>501</v>
      </c>
      <c r="B244" s="17" t="s">
        <v>100</v>
      </c>
      <c r="C244" s="17" t="s">
        <v>94</v>
      </c>
      <c r="D244" s="17">
        <v>128</v>
      </c>
      <c r="E244" s="17" t="s">
        <v>95</v>
      </c>
      <c r="F244" s="17">
        <v>2</v>
      </c>
      <c r="G244" s="17" t="str">
        <f t="shared" si="2"/>
        <v>M0111-B-128-2</v>
      </c>
      <c r="H244" s="17">
        <v>312.77999999999997</v>
      </c>
      <c r="I244" s="17">
        <v>314.29000000000002</v>
      </c>
    </row>
    <row r="245" spans="1:9">
      <c r="A245" s="17">
        <v>501</v>
      </c>
      <c r="B245" s="17" t="s">
        <v>100</v>
      </c>
      <c r="C245" s="17" t="s">
        <v>94</v>
      </c>
      <c r="D245" s="17">
        <v>128</v>
      </c>
      <c r="E245" s="17" t="s">
        <v>95</v>
      </c>
      <c r="F245" s="17">
        <v>1</v>
      </c>
      <c r="G245" s="17" t="str">
        <f t="shared" si="2"/>
        <v>M0111-B-128-1</v>
      </c>
      <c r="H245" s="17">
        <v>314.29000000000002</v>
      </c>
      <c r="I245" s="17">
        <v>315.3</v>
      </c>
    </row>
    <row r="246" spans="1:9">
      <c r="A246" s="17">
        <v>501</v>
      </c>
      <c r="B246" s="17" t="s">
        <v>100</v>
      </c>
      <c r="C246" s="17" t="s">
        <v>94</v>
      </c>
      <c r="D246" s="17">
        <v>128</v>
      </c>
      <c r="E246" s="17" t="s">
        <v>95</v>
      </c>
      <c r="F246" s="17">
        <v>2</v>
      </c>
      <c r="G246" s="17" t="str">
        <f t="shared" si="2"/>
        <v>M0111-B-128-2</v>
      </c>
      <c r="H246" s="17">
        <v>315.3</v>
      </c>
      <c r="I246" s="17">
        <v>315.95999999999998</v>
      </c>
    </row>
    <row r="247" spans="1:9">
      <c r="A247" s="17">
        <v>501</v>
      </c>
      <c r="B247" s="17" t="s">
        <v>100</v>
      </c>
      <c r="C247" s="17" t="s">
        <v>94</v>
      </c>
      <c r="D247" s="17">
        <v>129</v>
      </c>
      <c r="E247" s="17" t="s">
        <v>95</v>
      </c>
      <c r="F247" s="17">
        <v>1</v>
      </c>
      <c r="G247" s="17" t="str">
        <f t="shared" si="2"/>
        <v>M0111-B-129-1</v>
      </c>
      <c r="H247" s="17">
        <v>315.83</v>
      </c>
      <c r="I247" s="17">
        <v>317.33</v>
      </c>
    </row>
    <row r="248" spans="1:9">
      <c r="A248" s="17">
        <v>501</v>
      </c>
      <c r="B248" s="17" t="s">
        <v>100</v>
      </c>
      <c r="C248" s="17" t="s">
        <v>94</v>
      </c>
      <c r="D248" s="17">
        <v>129</v>
      </c>
      <c r="E248" s="17" t="s">
        <v>95</v>
      </c>
      <c r="F248" s="17">
        <v>2</v>
      </c>
      <c r="G248" s="17" t="str">
        <f t="shared" ref="G248:G311" si="3">CONCATENATE(B248, "-",C248, "-", D248, "-", F248)</f>
        <v>M0111-B-129-2</v>
      </c>
      <c r="H248" s="17">
        <v>317.33</v>
      </c>
      <c r="I248" s="17">
        <v>318.64</v>
      </c>
    </row>
    <row r="249" spans="1:9">
      <c r="A249" s="17">
        <v>501</v>
      </c>
      <c r="B249" s="17" t="s">
        <v>100</v>
      </c>
      <c r="C249" s="17" t="s">
        <v>94</v>
      </c>
      <c r="D249" s="17">
        <v>130</v>
      </c>
      <c r="E249" s="17" t="s">
        <v>95</v>
      </c>
      <c r="F249" s="17">
        <v>1</v>
      </c>
      <c r="G249" s="17" t="str">
        <f t="shared" si="3"/>
        <v>M0111-B-130-1</v>
      </c>
      <c r="H249" s="17">
        <v>318.88</v>
      </c>
      <c r="I249" s="17">
        <v>320.38</v>
      </c>
    </row>
    <row r="250" spans="1:9">
      <c r="A250" s="17">
        <v>501</v>
      </c>
      <c r="B250" s="17" t="s">
        <v>100</v>
      </c>
      <c r="C250" s="17" t="s">
        <v>94</v>
      </c>
      <c r="D250" s="17">
        <v>130</v>
      </c>
      <c r="E250" s="17" t="s">
        <v>95</v>
      </c>
      <c r="F250" s="17">
        <v>2</v>
      </c>
      <c r="G250" s="17" t="str">
        <f t="shared" si="3"/>
        <v>M0111-B-130-2</v>
      </c>
      <c r="H250" s="17">
        <v>320.38</v>
      </c>
      <c r="I250" s="17">
        <v>321.45999999999998</v>
      </c>
    </row>
    <row r="251" spans="1:9">
      <c r="A251" s="17">
        <v>501</v>
      </c>
      <c r="B251" s="17" t="s">
        <v>100</v>
      </c>
      <c r="C251" s="17" t="s">
        <v>94</v>
      </c>
      <c r="D251" s="17">
        <v>131</v>
      </c>
      <c r="E251" s="17" t="s">
        <v>95</v>
      </c>
      <c r="F251" s="17">
        <v>1</v>
      </c>
      <c r="G251" s="17" t="str">
        <f t="shared" si="3"/>
        <v>M0111-B-131-1</v>
      </c>
      <c r="H251" s="17">
        <v>321.93</v>
      </c>
      <c r="I251" s="17">
        <v>322.47000000000003</v>
      </c>
    </row>
    <row r="252" spans="1:9">
      <c r="A252" s="17">
        <v>501</v>
      </c>
      <c r="B252" s="17" t="s">
        <v>100</v>
      </c>
      <c r="C252" s="17" t="s">
        <v>94</v>
      </c>
      <c r="D252" s="17">
        <v>132</v>
      </c>
      <c r="E252" s="17" t="s">
        <v>95</v>
      </c>
      <c r="F252" s="17">
        <v>1</v>
      </c>
      <c r="G252" s="17" t="str">
        <f t="shared" si="3"/>
        <v>M0111-B-132-1</v>
      </c>
      <c r="H252" s="17">
        <v>323.83</v>
      </c>
      <c r="I252" s="17">
        <v>324.06</v>
      </c>
    </row>
    <row r="253" spans="1:9">
      <c r="A253" s="17">
        <v>501</v>
      </c>
      <c r="B253" s="17" t="s">
        <v>100</v>
      </c>
      <c r="C253" s="17" t="s">
        <v>94</v>
      </c>
      <c r="D253" s="17">
        <v>133</v>
      </c>
      <c r="E253" s="17" t="s">
        <v>95</v>
      </c>
      <c r="F253" s="17">
        <v>1</v>
      </c>
      <c r="G253" s="17" t="str">
        <f t="shared" si="3"/>
        <v>M0111-B-133-1</v>
      </c>
      <c r="H253" s="17">
        <v>326.13</v>
      </c>
      <c r="I253" s="17">
        <v>327.63</v>
      </c>
    </row>
    <row r="254" spans="1:9">
      <c r="A254" s="17">
        <v>501</v>
      </c>
      <c r="B254" s="17" t="s">
        <v>100</v>
      </c>
      <c r="C254" s="17" t="s">
        <v>94</v>
      </c>
      <c r="D254" s="17">
        <v>133</v>
      </c>
      <c r="E254" s="17" t="s">
        <v>95</v>
      </c>
      <c r="F254" s="17">
        <v>2</v>
      </c>
      <c r="G254" s="17" t="str">
        <f t="shared" si="3"/>
        <v>M0111-B-133-2</v>
      </c>
      <c r="H254" s="17">
        <v>327.63</v>
      </c>
      <c r="I254" s="17">
        <v>328.33</v>
      </c>
    </row>
    <row r="255" spans="1:9">
      <c r="A255" s="17">
        <v>501</v>
      </c>
      <c r="B255" s="17" t="s">
        <v>100</v>
      </c>
      <c r="C255" s="17" t="s">
        <v>94</v>
      </c>
      <c r="D255" s="17">
        <v>134</v>
      </c>
      <c r="E255" s="17" t="s">
        <v>95</v>
      </c>
      <c r="F255" s="17">
        <v>1</v>
      </c>
      <c r="G255" s="17" t="str">
        <f t="shared" si="3"/>
        <v>M0111-B-134-1</v>
      </c>
      <c r="H255" s="17">
        <v>328.98</v>
      </c>
      <c r="I255" s="17">
        <v>329.69</v>
      </c>
    </row>
    <row r="256" spans="1:9">
      <c r="A256" s="17">
        <v>501</v>
      </c>
      <c r="B256" s="17" t="s">
        <v>100</v>
      </c>
      <c r="C256" s="17" t="s">
        <v>94</v>
      </c>
      <c r="D256" s="17">
        <v>135</v>
      </c>
      <c r="E256" s="17" t="s">
        <v>95</v>
      </c>
      <c r="F256" s="17">
        <v>1</v>
      </c>
      <c r="G256" s="17" t="str">
        <f t="shared" si="3"/>
        <v>M0111-B-135-1</v>
      </c>
      <c r="H256" s="17">
        <v>330.83</v>
      </c>
      <c r="I256" s="17">
        <v>331.55</v>
      </c>
    </row>
    <row r="257" spans="1:20">
      <c r="A257" s="17">
        <v>501</v>
      </c>
      <c r="B257" s="17" t="s">
        <v>100</v>
      </c>
      <c r="C257" s="17" t="s">
        <v>94</v>
      </c>
      <c r="D257" s="17">
        <v>137</v>
      </c>
      <c r="E257" s="17" t="s">
        <v>95</v>
      </c>
      <c r="F257" s="17">
        <v>1</v>
      </c>
      <c r="G257" s="17" t="str">
        <f t="shared" si="3"/>
        <v>M0111-B-137-1</v>
      </c>
      <c r="H257" s="17">
        <v>332.58</v>
      </c>
      <c r="I257" s="17">
        <v>333.22</v>
      </c>
    </row>
    <row r="258" spans="1:20">
      <c r="A258" s="17">
        <v>501</v>
      </c>
      <c r="B258" s="17" t="s">
        <v>100</v>
      </c>
      <c r="C258" s="17" t="s">
        <v>94</v>
      </c>
      <c r="D258" s="17">
        <v>138</v>
      </c>
      <c r="E258" s="17" t="s">
        <v>95</v>
      </c>
      <c r="F258" s="17">
        <v>1</v>
      </c>
      <c r="G258" s="17" t="str">
        <f t="shared" si="3"/>
        <v>M0111-B-138-1</v>
      </c>
      <c r="H258" s="17">
        <v>334.98</v>
      </c>
      <c r="I258" s="17">
        <v>336.37</v>
      </c>
    </row>
    <row r="259" spans="1:20">
      <c r="A259" s="17">
        <v>501</v>
      </c>
      <c r="B259" s="17" t="s">
        <v>100</v>
      </c>
      <c r="C259" s="17" t="s">
        <v>94</v>
      </c>
      <c r="D259" s="17">
        <v>139</v>
      </c>
      <c r="E259" s="17" t="s">
        <v>95</v>
      </c>
      <c r="F259" s="17">
        <v>1</v>
      </c>
      <c r="G259" s="17" t="str">
        <f t="shared" si="3"/>
        <v>M0111-B-139-1</v>
      </c>
      <c r="H259" s="17">
        <v>336.33</v>
      </c>
      <c r="I259" s="17">
        <v>337.24</v>
      </c>
    </row>
    <row r="260" spans="1:20">
      <c r="A260" s="17">
        <v>501</v>
      </c>
      <c r="B260" s="17" t="s">
        <v>100</v>
      </c>
      <c r="C260" s="17" t="s">
        <v>94</v>
      </c>
      <c r="D260" s="17">
        <v>140</v>
      </c>
      <c r="E260" s="17" t="s">
        <v>95</v>
      </c>
      <c r="F260" s="17">
        <v>1</v>
      </c>
      <c r="G260" s="17" t="str">
        <f t="shared" si="3"/>
        <v>M0111-B-140-1</v>
      </c>
      <c r="H260" s="17">
        <v>338.03</v>
      </c>
      <c r="I260" s="17">
        <v>338.65</v>
      </c>
      <c r="T260" s="17">
        <v>368.83</v>
      </c>
    </row>
    <row r="261" spans="1:20">
      <c r="A261" s="17">
        <v>501</v>
      </c>
      <c r="B261" s="17" t="s">
        <v>100</v>
      </c>
      <c r="C261" s="17" t="s">
        <v>94</v>
      </c>
      <c r="D261" s="17">
        <v>141</v>
      </c>
      <c r="E261" s="17" t="s">
        <v>95</v>
      </c>
      <c r="F261" s="17">
        <v>1</v>
      </c>
      <c r="G261" s="17" t="str">
        <f t="shared" si="3"/>
        <v>M0111-B-141-1</v>
      </c>
      <c r="H261" s="17">
        <v>339.68</v>
      </c>
      <c r="I261" s="17">
        <v>339.81</v>
      </c>
      <c r="T261" s="17">
        <v>371.23</v>
      </c>
    </row>
    <row r="262" spans="1:20">
      <c r="A262" s="17">
        <v>501</v>
      </c>
      <c r="B262" s="17" t="s">
        <v>100</v>
      </c>
      <c r="C262" s="17" t="s">
        <v>94</v>
      </c>
      <c r="D262" s="17">
        <v>144</v>
      </c>
      <c r="E262" s="17" t="s">
        <v>95</v>
      </c>
      <c r="F262" s="17">
        <v>1</v>
      </c>
      <c r="G262" s="17" t="str">
        <f t="shared" si="3"/>
        <v>M0111-B-144-1</v>
      </c>
      <c r="H262" s="17">
        <v>344.43</v>
      </c>
      <c r="I262" s="17">
        <v>344.89</v>
      </c>
      <c r="T262" s="17">
        <v>373.93</v>
      </c>
    </row>
    <row r="263" spans="1:20">
      <c r="A263" s="17">
        <v>501</v>
      </c>
      <c r="B263" s="17" t="s">
        <v>100</v>
      </c>
      <c r="C263" s="17" t="s">
        <v>94</v>
      </c>
      <c r="D263" s="17">
        <v>146</v>
      </c>
      <c r="E263" s="17" t="s">
        <v>95</v>
      </c>
      <c r="F263" s="17">
        <v>1</v>
      </c>
      <c r="G263" s="17" t="str">
        <f t="shared" si="3"/>
        <v>M0111-B-146-1</v>
      </c>
      <c r="H263" s="17">
        <v>345.78</v>
      </c>
      <c r="I263" s="17">
        <v>345.82</v>
      </c>
      <c r="T263" s="17">
        <v>374.93</v>
      </c>
    </row>
    <row r="264" spans="1:20">
      <c r="A264" s="17">
        <v>501</v>
      </c>
      <c r="B264" s="17" t="s">
        <v>100</v>
      </c>
      <c r="C264" s="17" t="s">
        <v>94</v>
      </c>
      <c r="D264" s="17">
        <v>147</v>
      </c>
      <c r="E264" s="17" t="s">
        <v>95</v>
      </c>
      <c r="F264" s="17">
        <v>1</v>
      </c>
      <c r="G264" s="17" t="str">
        <f t="shared" si="3"/>
        <v>M0111-B-147-1</v>
      </c>
      <c r="H264" s="17">
        <v>346.13</v>
      </c>
      <c r="I264" s="17">
        <v>346.57</v>
      </c>
    </row>
    <row r="265" spans="1:20">
      <c r="A265" s="17">
        <v>501</v>
      </c>
      <c r="B265" s="17" t="s">
        <v>100</v>
      </c>
      <c r="C265" s="17" t="s">
        <v>94</v>
      </c>
      <c r="D265" s="17">
        <v>149</v>
      </c>
      <c r="E265" s="17" t="s">
        <v>95</v>
      </c>
      <c r="F265" s="17">
        <v>1</v>
      </c>
      <c r="G265" s="17" t="str">
        <f t="shared" si="3"/>
        <v>M0111-B-149-1</v>
      </c>
      <c r="H265" s="17">
        <v>348.03</v>
      </c>
      <c r="I265" s="17">
        <v>349.15</v>
      </c>
    </row>
    <row r="266" spans="1:20">
      <c r="A266" s="17">
        <v>501</v>
      </c>
      <c r="B266" s="17" t="s">
        <v>100</v>
      </c>
      <c r="C266" s="17" t="s">
        <v>94</v>
      </c>
      <c r="D266" s="17">
        <v>150</v>
      </c>
      <c r="E266" s="17" t="s">
        <v>95</v>
      </c>
      <c r="F266" s="17">
        <v>1</v>
      </c>
      <c r="G266" s="17" t="str">
        <f t="shared" si="3"/>
        <v>M0111-B-150-1</v>
      </c>
      <c r="H266" s="17">
        <v>349.03</v>
      </c>
      <c r="I266" s="17">
        <v>349.13</v>
      </c>
    </row>
    <row r="267" spans="1:20">
      <c r="A267" s="17">
        <v>501</v>
      </c>
      <c r="B267" s="17" t="s">
        <v>100</v>
      </c>
      <c r="C267" s="17" t="s">
        <v>94</v>
      </c>
      <c r="D267" s="17">
        <v>151</v>
      </c>
      <c r="E267" s="17" t="s">
        <v>95</v>
      </c>
      <c r="F267" s="17">
        <v>1</v>
      </c>
      <c r="G267" s="17" t="str">
        <f t="shared" si="3"/>
        <v>M0111-B-151-1</v>
      </c>
      <c r="H267" s="17">
        <v>350.03</v>
      </c>
      <c r="I267" s="17">
        <v>350.67</v>
      </c>
    </row>
    <row r="268" spans="1:20">
      <c r="A268" s="17">
        <v>501</v>
      </c>
      <c r="B268" s="17" t="s">
        <v>100</v>
      </c>
      <c r="C268" s="17" t="s">
        <v>94</v>
      </c>
      <c r="D268" s="17">
        <v>152</v>
      </c>
      <c r="E268" s="17" t="s">
        <v>95</v>
      </c>
      <c r="F268" s="17">
        <v>1</v>
      </c>
      <c r="G268" s="17" t="str">
        <f t="shared" si="3"/>
        <v>M0111-B-152-1</v>
      </c>
      <c r="H268" s="17">
        <v>351.28</v>
      </c>
      <c r="I268" s="17">
        <v>351.62</v>
      </c>
    </row>
    <row r="269" spans="1:20">
      <c r="A269" s="17">
        <v>501</v>
      </c>
      <c r="B269" s="17" t="s">
        <v>100</v>
      </c>
      <c r="C269" s="17" t="s">
        <v>94</v>
      </c>
      <c r="D269" s="17">
        <v>154</v>
      </c>
      <c r="E269" s="17" t="s">
        <v>95</v>
      </c>
      <c r="F269" s="17">
        <v>1</v>
      </c>
      <c r="G269" s="17" t="str">
        <f t="shared" si="3"/>
        <v>M0111-B-154-1</v>
      </c>
      <c r="H269" s="17">
        <v>353.58</v>
      </c>
      <c r="I269" s="17">
        <v>353.81</v>
      </c>
    </row>
    <row r="270" spans="1:20">
      <c r="A270" s="17">
        <v>501</v>
      </c>
      <c r="B270" s="17" t="s">
        <v>100</v>
      </c>
      <c r="C270" s="17" t="s">
        <v>94</v>
      </c>
      <c r="D270" s="17">
        <v>155</v>
      </c>
      <c r="E270" s="17" t="s">
        <v>95</v>
      </c>
      <c r="F270" s="17">
        <v>1</v>
      </c>
      <c r="G270" s="17" t="str">
        <f t="shared" si="3"/>
        <v>M0111-B-155-1</v>
      </c>
      <c r="H270" s="17">
        <v>355.55</v>
      </c>
      <c r="I270" s="17">
        <v>356.52</v>
      </c>
    </row>
    <row r="271" spans="1:20">
      <c r="A271" s="17">
        <v>501</v>
      </c>
      <c r="B271" s="17" t="s">
        <v>100</v>
      </c>
      <c r="C271" s="17" t="s">
        <v>94</v>
      </c>
      <c r="D271" s="17">
        <v>156</v>
      </c>
      <c r="E271" s="17" t="s">
        <v>95</v>
      </c>
      <c r="F271" s="17">
        <v>1</v>
      </c>
      <c r="G271" s="17" t="str">
        <f t="shared" si="3"/>
        <v>M0111-B-156-1</v>
      </c>
      <c r="H271" s="17">
        <v>358.6</v>
      </c>
      <c r="I271" s="17">
        <v>358.75</v>
      </c>
    </row>
    <row r="272" spans="1:20">
      <c r="A272" s="17">
        <v>501</v>
      </c>
      <c r="B272" s="17" t="s">
        <v>100</v>
      </c>
      <c r="C272" s="17" t="s">
        <v>94</v>
      </c>
      <c r="D272" s="17">
        <v>157</v>
      </c>
      <c r="E272" s="17" t="s">
        <v>95</v>
      </c>
      <c r="F272" s="17">
        <v>1</v>
      </c>
      <c r="G272" s="17" t="str">
        <f t="shared" si="3"/>
        <v>M0111-B-157-1</v>
      </c>
      <c r="H272" s="17">
        <v>360.83</v>
      </c>
      <c r="I272" s="17">
        <v>361.57</v>
      </c>
    </row>
    <row r="273" spans="1:20">
      <c r="A273" s="17">
        <v>501</v>
      </c>
      <c r="B273" s="17" t="s">
        <v>100</v>
      </c>
      <c r="C273" s="17" t="s">
        <v>94</v>
      </c>
      <c r="D273" s="17">
        <v>158</v>
      </c>
      <c r="E273" s="17" t="s">
        <v>95</v>
      </c>
      <c r="F273" s="17">
        <v>1</v>
      </c>
      <c r="G273" s="17" t="str">
        <f t="shared" si="3"/>
        <v>M0111-B-158-1</v>
      </c>
      <c r="H273" s="17">
        <v>361.73</v>
      </c>
      <c r="I273" s="17">
        <v>362.35</v>
      </c>
    </row>
    <row r="274" spans="1:20">
      <c r="A274" s="17">
        <v>501</v>
      </c>
      <c r="B274" s="17" t="s">
        <v>100</v>
      </c>
      <c r="C274" s="17" t="s">
        <v>94</v>
      </c>
      <c r="D274" s="17">
        <v>158</v>
      </c>
      <c r="E274" s="17" t="s">
        <v>95</v>
      </c>
      <c r="F274" s="17">
        <v>2</v>
      </c>
      <c r="G274" s="17" t="str">
        <f t="shared" si="3"/>
        <v>M0111-B-158-2</v>
      </c>
      <c r="H274" s="17">
        <v>362.35</v>
      </c>
      <c r="I274" s="17">
        <v>362.72</v>
      </c>
    </row>
    <row r="275" spans="1:20">
      <c r="A275" s="17">
        <v>501</v>
      </c>
      <c r="B275" s="17" t="s">
        <v>100</v>
      </c>
      <c r="C275" s="17" t="s">
        <v>94</v>
      </c>
      <c r="D275" s="17">
        <v>159</v>
      </c>
      <c r="E275" s="17" t="s">
        <v>95</v>
      </c>
      <c r="F275" s="17">
        <v>1</v>
      </c>
      <c r="G275" s="17" t="str">
        <f t="shared" si="3"/>
        <v>M0111-B-159-1</v>
      </c>
      <c r="H275" s="17">
        <v>364.78</v>
      </c>
      <c r="I275" s="17">
        <v>365.38</v>
      </c>
    </row>
    <row r="276" spans="1:20">
      <c r="A276" s="17">
        <v>501</v>
      </c>
      <c r="B276" s="17" t="s">
        <v>100</v>
      </c>
      <c r="C276" s="17" t="s">
        <v>94</v>
      </c>
      <c r="D276" s="17">
        <v>160</v>
      </c>
      <c r="E276" s="17" t="s">
        <v>95</v>
      </c>
      <c r="F276" s="17">
        <v>1</v>
      </c>
      <c r="G276" s="17" t="str">
        <f t="shared" si="3"/>
        <v>M0111-B-160-1</v>
      </c>
      <c r="H276" s="17">
        <v>366.08</v>
      </c>
      <c r="I276" s="17">
        <v>366.5</v>
      </c>
    </row>
    <row r="277" spans="1:20">
      <c r="A277" s="17">
        <v>501</v>
      </c>
      <c r="B277" s="17" t="s">
        <v>100</v>
      </c>
      <c r="C277" s="17" t="s">
        <v>94</v>
      </c>
      <c r="D277" s="17">
        <v>161</v>
      </c>
      <c r="E277" s="17" t="s">
        <v>95</v>
      </c>
      <c r="F277" s="17">
        <v>1</v>
      </c>
      <c r="G277" s="17" t="str">
        <f t="shared" si="3"/>
        <v>M0111-B-161-1</v>
      </c>
      <c r="H277" s="17">
        <v>368.83</v>
      </c>
      <c r="I277" s="17">
        <v>369.83</v>
      </c>
    </row>
    <row r="278" spans="1:20">
      <c r="A278" s="17">
        <v>501</v>
      </c>
      <c r="B278" s="17" t="s">
        <v>100</v>
      </c>
      <c r="C278" s="17" t="s">
        <v>94</v>
      </c>
      <c r="D278" s="17">
        <v>165</v>
      </c>
      <c r="E278" s="17" t="s">
        <v>95</v>
      </c>
      <c r="F278" s="17">
        <v>1</v>
      </c>
      <c r="G278" s="17" t="str">
        <f t="shared" si="3"/>
        <v>M0111-B-165-1</v>
      </c>
      <c r="H278" s="17">
        <v>377.98</v>
      </c>
      <c r="I278" s="17">
        <v>379.48</v>
      </c>
    </row>
    <row r="279" spans="1:20">
      <c r="A279" s="17">
        <v>501</v>
      </c>
      <c r="B279" s="17" t="s">
        <v>100</v>
      </c>
      <c r="C279" s="17" t="s">
        <v>94</v>
      </c>
      <c r="D279" s="17">
        <v>165</v>
      </c>
      <c r="E279" s="17" t="s">
        <v>95</v>
      </c>
      <c r="F279" s="17">
        <v>2</v>
      </c>
      <c r="G279" s="17" t="str">
        <f t="shared" si="3"/>
        <v>M0111-B-165-2</v>
      </c>
      <c r="H279" s="17">
        <v>379.48</v>
      </c>
      <c r="I279" s="17">
        <v>379.91</v>
      </c>
    </row>
    <row r="280" spans="1:20">
      <c r="A280" s="17">
        <v>501</v>
      </c>
      <c r="B280" s="17" t="s">
        <v>100</v>
      </c>
      <c r="C280" s="17" t="s">
        <v>94</v>
      </c>
      <c r="D280" s="17">
        <v>166</v>
      </c>
      <c r="E280" s="17" t="s">
        <v>95</v>
      </c>
      <c r="F280" s="17">
        <v>1</v>
      </c>
      <c r="G280" s="17" t="str">
        <f t="shared" si="3"/>
        <v>M0111-B-166-1</v>
      </c>
      <c r="H280" s="17">
        <v>381.03</v>
      </c>
      <c r="I280" s="17">
        <v>381.93</v>
      </c>
    </row>
    <row r="281" spans="1:20">
      <c r="A281" s="17">
        <v>501</v>
      </c>
      <c r="B281" s="17" t="s">
        <v>100</v>
      </c>
      <c r="C281" s="17" t="s">
        <v>94</v>
      </c>
      <c r="D281" s="17">
        <v>168</v>
      </c>
      <c r="E281" s="17" t="s">
        <v>95</v>
      </c>
      <c r="F281" s="17">
        <v>1</v>
      </c>
      <c r="G281" s="17" t="str">
        <f t="shared" si="3"/>
        <v>M0111-B-168-1</v>
      </c>
      <c r="H281" s="17">
        <v>383.08</v>
      </c>
      <c r="I281" s="17">
        <v>383.25</v>
      </c>
    </row>
    <row r="282" spans="1:20">
      <c r="A282" s="17">
        <v>501</v>
      </c>
      <c r="B282" s="17" t="s">
        <v>100</v>
      </c>
      <c r="C282" s="17" t="s">
        <v>94</v>
      </c>
      <c r="D282" s="17">
        <v>169</v>
      </c>
      <c r="E282" s="17" t="s">
        <v>95</v>
      </c>
      <c r="F282" s="17">
        <v>1</v>
      </c>
      <c r="G282" s="17" t="str">
        <f t="shared" si="3"/>
        <v>M0111-B-169-1</v>
      </c>
      <c r="H282" s="17">
        <v>384.08</v>
      </c>
      <c r="I282" s="17">
        <v>384.26</v>
      </c>
      <c r="T282" s="17">
        <v>377.98</v>
      </c>
    </row>
    <row r="283" spans="1:20">
      <c r="A283" s="17">
        <v>501</v>
      </c>
      <c r="B283" s="17" t="s">
        <v>100</v>
      </c>
      <c r="C283" s="17" t="s">
        <v>94</v>
      </c>
      <c r="D283" s="17">
        <v>171</v>
      </c>
      <c r="E283" s="17" t="s">
        <v>95</v>
      </c>
      <c r="F283" s="17">
        <v>1</v>
      </c>
      <c r="G283" s="17" t="str">
        <f t="shared" si="3"/>
        <v>M0111-B-171-1</v>
      </c>
      <c r="H283" s="17">
        <v>389.18</v>
      </c>
      <c r="I283" s="17">
        <v>389.3</v>
      </c>
      <c r="T283" s="17">
        <v>381.03</v>
      </c>
    </row>
    <row r="284" spans="1:20">
      <c r="A284" s="17">
        <v>501</v>
      </c>
      <c r="B284" s="17" t="s">
        <v>100</v>
      </c>
      <c r="C284" s="17" t="s">
        <v>102</v>
      </c>
      <c r="D284" s="17">
        <v>1</v>
      </c>
      <c r="E284" s="17" t="s">
        <v>93</v>
      </c>
      <c r="F284" s="17">
        <v>1</v>
      </c>
      <c r="G284" s="17" t="str">
        <f t="shared" si="3"/>
        <v>M0111-C-1-1</v>
      </c>
      <c r="H284" s="17">
        <v>45.56</v>
      </c>
      <c r="I284" s="17">
        <v>47.06</v>
      </c>
    </row>
    <row r="285" spans="1:20">
      <c r="A285" s="17">
        <v>501</v>
      </c>
      <c r="B285" s="17" t="s">
        <v>100</v>
      </c>
      <c r="C285" s="17" t="s">
        <v>102</v>
      </c>
      <c r="D285" s="17">
        <v>1</v>
      </c>
      <c r="E285" s="17" t="s">
        <v>93</v>
      </c>
      <c r="F285" s="17">
        <v>2</v>
      </c>
      <c r="G285" s="17" t="str">
        <f t="shared" si="3"/>
        <v>M0111-C-1-2</v>
      </c>
      <c r="H285" s="17">
        <v>47.06</v>
      </c>
      <c r="I285" s="17">
        <v>47.67</v>
      </c>
    </row>
    <row r="286" spans="1:20">
      <c r="A286" s="17">
        <v>501</v>
      </c>
      <c r="B286" s="17" t="s">
        <v>100</v>
      </c>
      <c r="C286" s="17" t="s">
        <v>102</v>
      </c>
      <c r="D286" s="17">
        <v>2</v>
      </c>
      <c r="E286" s="17" t="s">
        <v>93</v>
      </c>
      <c r="F286" s="17">
        <v>1</v>
      </c>
      <c r="G286" s="17" t="str">
        <f t="shared" si="3"/>
        <v>M0111-C-2-1</v>
      </c>
      <c r="H286" s="17">
        <v>47.67</v>
      </c>
      <c r="I286" s="17">
        <v>48.24</v>
      </c>
    </row>
    <row r="287" spans="1:20">
      <c r="A287" s="17">
        <v>501</v>
      </c>
      <c r="B287" s="17" t="s">
        <v>100</v>
      </c>
      <c r="C287" s="17" t="s">
        <v>102</v>
      </c>
      <c r="D287" s="17">
        <v>2</v>
      </c>
      <c r="E287" s="17" t="s">
        <v>93</v>
      </c>
      <c r="F287" s="17">
        <v>2</v>
      </c>
      <c r="G287" s="17" t="str">
        <f t="shared" si="3"/>
        <v>M0111-C-2-2</v>
      </c>
      <c r="H287" s="17">
        <v>48.24</v>
      </c>
      <c r="I287" s="17">
        <v>48.56</v>
      </c>
    </row>
    <row r="288" spans="1:20">
      <c r="A288" s="17">
        <v>501</v>
      </c>
      <c r="B288" s="17" t="s">
        <v>100</v>
      </c>
      <c r="C288" s="17" t="s">
        <v>102</v>
      </c>
      <c r="D288" s="17">
        <v>3</v>
      </c>
      <c r="E288" s="17" t="s">
        <v>93</v>
      </c>
      <c r="F288" s="17">
        <v>1</v>
      </c>
      <c r="G288" s="17" t="str">
        <f t="shared" si="3"/>
        <v>M0111-C-3-1</v>
      </c>
      <c r="H288" s="17">
        <v>48.56</v>
      </c>
      <c r="I288" s="17">
        <v>49.77</v>
      </c>
    </row>
    <row r="289" spans="1:9">
      <c r="A289" s="17">
        <v>501</v>
      </c>
      <c r="B289" s="17" t="s">
        <v>100</v>
      </c>
      <c r="C289" s="17" t="s">
        <v>102</v>
      </c>
      <c r="D289" s="17">
        <v>3</v>
      </c>
      <c r="E289" s="17" t="s">
        <v>93</v>
      </c>
      <c r="F289" s="17">
        <v>2</v>
      </c>
      <c r="G289" s="17" t="str">
        <f t="shared" si="3"/>
        <v>M0111-C-3-2</v>
      </c>
      <c r="H289" s="17">
        <v>49.77</v>
      </c>
      <c r="I289" s="17">
        <v>50</v>
      </c>
    </row>
    <row r="290" spans="1:9">
      <c r="A290" s="17">
        <v>501</v>
      </c>
      <c r="B290" s="17" t="s">
        <v>100</v>
      </c>
      <c r="C290" s="17" t="s">
        <v>102</v>
      </c>
      <c r="D290" s="17">
        <v>4</v>
      </c>
      <c r="E290" s="17" t="s">
        <v>93</v>
      </c>
      <c r="F290" s="17">
        <v>1</v>
      </c>
      <c r="G290" s="17" t="str">
        <f t="shared" si="3"/>
        <v>M0111-C-4-1</v>
      </c>
      <c r="H290" s="17">
        <v>50</v>
      </c>
      <c r="I290" s="17">
        <v>51.1</v>
      </c>
    </row>
    <row r="291" spans="1:9">
      <c r="A291" s="17">
        <v>501</v>
      </c>
      <c r="B291" s="17" t="s">
        <v>100</v>
      </c>
      <c r="C291" s="17" t="s">
        <v>102</v>
      </c>
      <c r="D291" s="17">
        <v>5</v>
      </c>
      <c r="E291" s="17" t="s">
        <v>93</v>
      </c>
      <c r="F291" s="17">
        <v>1</v>
      </c>
      <c r="G291" s="17" t="str">
        <f t="shared" si="3"/>
        <v>M0111-C-5-1</v>
      </c>
      <c r="H291" s="17">
        <v>110</v>
      </c>
      <c r="I291" s="17">
        <v>110.77</v>
      </c>
    </row>
    <row r="292" spans="1:9">
      <c r="A292" s="17">
        <v>501</v>
      </c>
      <c r="B292" s="17" t="s">
        <v>100</v>
      </c>
      <c r="C292" s="17" t="s">
        <v>102</v>
      </c>
      <c r="D292" s="17">
        <v>6</v>
      </c>
      <c r="E292" s="17" t="s">
        <v>93</v>
      </c>
      <c r="F292" s="17">
        <v>1</v>
      </c>
      <c r="G292" s="17" t="str">
        <f t="shared" si="3"/>
        <v>M0111-C-6-1</v>
      </c>
      <c r="H292" s="17">
        <v>111.36</v>
      </c>
      <c r="I292" s="17">
        <v>112.09</v>
      </c>
    </row>
    <row r="293" spans="1:9">
      <c r="A293" s="17">
        <v>501</v>
      </c>
      <c r="B293" s="17" t="s">
        <v>100</v>
      </c>
      <c r="C293" s="17" t="s">
        <v>102</v>
      </c>
      <c r="D293" s="17">
        <v>6</v>
      </c>
      <c r="E293" s="17" t="s">
        <v>93</v>
      </c>
      <c r="F293" s="17">
        <v>2</v>
      </c>
      <c r="G293" s="17" t="str">
        <f t="shared" si="3"/>
        <v>M0111-C-6-2</v>
      </c>
      <c r="H293" s="17">
        <v>112.09</v>
      </c>
      <c r="I293" s="17">
        <v>112.66</v>
      </c>
    </row>
    <row r="294" spans="1:9">
      <c r="A294" s="17">
        <v>501</v>
      </c>
      <c r="B294" s="17" t="s">
        <v>100</v>
      </c>
      <c r="C294" s="17" t="s">
        <v>102</v>
      </c>
      <c r="D294" s="17">
        <v>7</v>
      </c>
      <c r="E294" s="17" t="s">
        <v>95</v>
      </c>
      <c r="F294" s="17">
        <v>1</v>
      </c>
      <c r="G294" s="17" t="str">
        <f t="shared" si="3"/>
        <v>M0111-C-7-1</v>
      </c>
      <c r="H294" s="17">
        <v>120.36</v>
      </c>
      <c r="I294" s="17">
        <v>121.87</v>
      </c>
    </row>
    <row r="295" spans="1:9">
      <c r="A295" s="17">
        <v>501</v>
      </c>
      <c r="B295" s="17" t="s">
        <v>100</v>
      </c>
      <c r="C295" s="17" t="s">
        <v>102</v>
      </c>
      <c r="D295" s="17">
        <v>7</v>
      </c>
      <c r="E295" s="17" t="s">
        <v>95</v>
      </c>
      <c r="F295" s="17">
        <v>2</v>
      </c>
      <c r="G295" s="17" t="str">
        <f t="shared" si="3"/>
        <v>M0111-C-7-2</v>
      </c>
      <c r="H295" s="17">
        <v>121.87</v>
      </c>
      <c r="I295" s="17">
        <v>123.29</v>
      </c>
    </row>
    <row r="296" spans="1:9">
      <c r="A296" s="17">
        <v>501</v>
      </c>
      <c r="B296" s="17" t="s">
        <v>100</v>
      </c>
      <c r="C296" s="17" t="s">
        <v>102</v>
      </c>
      <c r="D296" s="17">
        <v>8</v>
      </c>
      <c r="E296" s="17" t="s">
        <v>95</v>
      </c>
      <c r="F296" s="17">
        <v>1</v>
      </c>
      <c r="G296" s="17" t="str">
        <f t="shared" si="3"/>
        <v>M0111-C-8-1</v>
      </c>
      <c r="H296" s="17">
        <v>125</v>
      </c>
      <c r="I296" s="17">
        <v>126.01</v>
      </c>
    </row>
    <row r="297" spans="1:9">
      <c r="A297" s="17">
        <v>501</v>
      </c>
      <c r="B297" s="17" t="s">
        <v>100</v>
      </c>
      <c r="C297" s="17" t="s">
        <v>102</v>
      </c>
      <c r="D297" s="17">
        <v>8</v>
      </c>
      <c r="E297" s="17" t="s">
        <v>95</v>
      </c>
      <c r="F297" s="17">
        <v>2</v>
      </c>
      <c r="G297" s="17" t="str">
        <f t="shared" si="3"/>
        <v>M0111-C-8-2</v>
      </c>
      <c r="H297" s="17">
        <v>126.01</v>
      </c>
      <c r="I297" s="17">
        <v>126.45</v>
      </c>
    </row>
    <row r="298" spans="1:9">
      <c r="A298" s="17">
        <v>501</v>
      </c>
      <c r="B298" s="17" t="s">
        <v>100</v>
      </c>
      <c r="C298" s="17" t="s">
        <v>102</v>
      </c>
      <c r="D298" s="17">
        <v>9</v>
      </c>
      <c r="E298" s="17" t="s">
        <v>95</v>
      </c>
      <c r="F298" s="17">
        <v>1</v>
      </c>
      <c r="G298" s="17" t="str">
        <f t="shared" si="3"/>
        <v>M0111-C-9-1</v>
      </c>
      <c r="H298" s="17">
        <v>126.36</v>
      </c>
      <c r="I298" s="17">
        <v>127.87</v>
      </c>
    </row>
    <row r="299" spans="1:9">
      <c r="A299" s="17">
        <v>501</v>
      </c>
      <c r="B299" s="17" t="s">
        <v>100</v>
      </c>
      <c r="C299" s="17" t="s">
        <v>102</v>
      </c>
      <c r="D299" s="17">
        <v>9</v>
      </c>
      <c r="E299" s="17" t="s">
        <v>95</v>
      </c>
      <c r="F299" s="17">
        <v>2</v>
      </c>
      <c r="G299" s="17" t="str">
        <f t="shared" si="3"/>
        <v>M0111-C-9-2</v>
      </c>
      <c r="H299" s="17">
        <v>127.87</v>
      </c>
      <c r="I299" s="17">
        <v>129.19</v>
      </c>
    </row>
    <row r="300" spans="1:9">
      <c r="A300" s="17">
        <v>501</v>
      </c>
      <c r="B300" s="17" t="s">
        <v>100</v>
      </c>
      <c r="C300" s="17" t="s">
        <v>102</v>
      </c>
      <c r="D300" s="17">
        <v>10</v>
      </c>
      <c r="E300" s="17" t="s">
        <v>95</v>
      </c>
      <c r="F300" s="17">
        <v>1</v>
      </c>
      <c r="G300" s="17" t="str">
        <f t="shared" si="3"/>
        <v>M0111-C-10-1</v>
      </c>
      <c r="H300" s="17">
        <v>150</v>
      </c>
      <c r="I300" s="17">
        <v>151.5</v>
      </c>
    </row>
    <row r="301" spans="1:9">
      <c r="A301" s="17">
        <v>501</v>
      </c>
      <c r="B301" s="17" t="s">
        <v>100</v>
      </c>
      <c r="C301" s="17" t="s">
        <v>102</v>
      </c>
      <c r="D301" s="17">
        <v>10</v>
      </c>
      <c r="E301" s="17" t="s">
        <v>95</v>
      </c>
      <c r="F301" s="17">
        <v>2</v>
      </c>
      <c r="G301" s="17" t="str">
        <f t="shared" si="3"/>
        <v>M0111-C-10-2</v>
      </c>
      <c r="H301" s="17">
        <v>151.5</v>
      </c>
      <c r="I301" s="17">
        <v>152.5</v>
      </c>
    </row>
    <row r="302" spans="1:9">
      <c r="A302" s="17">
        <v>501</v>
      </c>
      <c r="B302" s="17" t="s">
        <v>100</v>
      </c>
      <c r="C302" s="17" t="s">
        <v>102</v>
      </c>
      <c r="D302" s="17">
        <v>10</v>
      </c>
      <c r="E302" s="17" t="s">
        <v>95</v>
      </c>
      <c r="F302" s="17">
        <v>3</v>
      </c>
      <c r="G302" s="17" t="str">
        <f t="shared" si="3"/>
        <v>M0111-C-10-3</v>
      </c>
      <c r="H302" s="17">
        <v>152.5</v>
      </c>
      <c r="I302" s="17">
        <v>153.12</v>
      </c>
    </row>
    <row r="303" spans="1:9">
      <c r="A303" s="17">
        <v>501</v>
      </c>
      <c r="B303" s="17" t="s">
        <v>100</v>
      </c>
      <c r="C303" s="17" t="s">
        <v>102</v>
      </c>
      <c r="D303" s="17">
        <v>11</v>
      </c>
      <c r="E303" s="17" t="s">
        <v>95</v>
      </c>
      <c r="F303" s="17">
        <v>1</v>
      </c>
      <c r="G303" s="17" t="str">
        <f t="shared" si="3"/>
        <v>M0111-C-11-1</v>
      </c>
      <c r="H303" s="17">
        <v>153</v>
      </c>
      <c r="I303" s="17">
        <v>154.5</v>
      </c>
    </row>
    <row r="304" spans="1:9">
      <c r="A304" s="17">
        <v>501</v>
      </c>
      <c r="B304" s="17" t="s">
        <v>100</v>
      </c>
      <c r="C304" s="17" t="s">
        <v>102</v>
      </c>
      <c r="D304" s="17">
        <v>11</v>
      </c>
      <c r="E304" s="17" t="s">
        <v>95</v>
      </c>
      <c r="F304" s="17">
        <v>2</v>
      </c>
      <c r="G304" s="17" t="str">
        <f t="shared" si="3"/>
        <v>M0111-C-11-2</v>
      </c>
      <c r="H304" s="17">
        <v>154.5</v>
      </c>
      <c r="I304" s="17">
        <v>155.49</v>
      </c>
    </row>
    <row r="305" spans="1:9">
      <c r="A305" s="17">
        <v>501</v>
      </c>
      <c r="B305" s="17" t="s">
        <v>100</v>
      </c>
      <c r="C305" s="17" t="s">
        <v>102</v>
      </c>
      <c r="D305" s="17">
        <v>11</v>
      </c>
      <c r="E305" s="17" t="s">
        <v>95</v>
      </c>
      <c r="F305" s="17">
        <v>3</v>
      </c>
      <c r="G305" s="17" t="str">
        <f t="shared" si="3"/>
        <v>M0111-C-11-3</v>
      </c>
      <c r="H305" s="17">
        <v>155.49</v>
      </c>
      <c r="I305" s="17">
        <v>156.12</v>
      </c>
    </row>
    <row r="306" spans="1:9">
      <c r="A306" s="17">
        <v>501</v>
      </c>
      <c r="B306" s="17" t="s">
        <v>100</v>
      </c>
      <c r="C306" s="17" t="s">
        <v>102</v>
      </c>
      <c r="D306" s="17">
        <v>12</v>
      </c>
      <c r="E306" s="17" t="s">
        <v>95</v>
      </c>
      <c r="F306" s="17">
        <v>1</v>
      </c>
      <c r="G306" s="17" t="str">
        <f t="shared" si="3"/>
        <v>M0111-C-12-1</v>
      </c>
      <c r="H306" s="17">
        <v>156</v>
      </c>
      <c r="I306" s="17">
        <v>157.47999999999999</v>
      </c>
    </row>
    <row r="307" spans="1:9">
      <c r="A307" s="17">
        <v>501</v>
      </c>
      <c r="B307" s="17" t="s">
        <v>100</v>
      </c>
      <c r="C307" s="17" t="s">
        <v>102</v>
      </c>
      <c r="D307" s="17">
        <v>12</v>
      </c>
      <c r="E307" s="17" t="s">
        <v>95</v>
      </c>
      <c r="F307" s="17">
        <v>2</v>
      </c>
      <c r="G307" s="17" t="str">
        <f t="shared" si="3"/>
        <v>M0111-C-12-2</v>
      </c>
      <c r="H307" s="17">
        <v>157.47999999999999</v>
      </c>
      <c r="I307" s="17">
        <v>158.11000000000001</v>
      </c>
    </row>
    <row r="308" spans="1:9">
      <c r="A308" s="17">
        <v>501</v>
      </c>
      <c r="B308" s="17" t="s">
        <v>100</v>
      </c>
      <c r="C308" s="17" t="s">
        <v>102</v>
      </c>
      <c r="D308" s="17">
        <v>13</v>
      </c>
      <c r="E308" s="17" t="s">
        <v>95</v>
      </c>
      <c r="F308" s="17">
        <v>1</v>
      </c>
      <c r="G308" s="17" t="str">
        <f t="shared" si="3"/>
        <v>M0111-C-13-1</v>
      </c>
      <c r="H308" s="17">
        <v>159</v>
      </c>
      <c r="I308" s="17">
        <v>159.83000000000001</v>
      </c>
    </row>
    <row r="309" spans="1:9">
      <c r="A309" s="17">
        <v>501</v>
      </c>
      <c r="B309" s="17" t="s">
        <v>100</v>
      </c>
      <c r="C309" s="17" t="s">
        <v>102</v>
      </c>
      <c r="D309" s="17">
        <v>14</v>
      </c>
      <c r="E309" s="17" t="s">
        <v>95</v>
      </c>
      <c r="F309" s="17">
        <v>1</v>
      </c>
      <c r="G309" s="17" t="str">
        <f t="shared" si="3"/>
        <v>M0111-C-14-1</v>
      </c>
      <c r="H309" s="17">
        <v>161.16</v>
      </c>
      <c r="I309" s="17">
        <v>162.13999999999999</v>
      </c>
    </row>
    <row r="310" spans="1:9">
      <c r="A310" s="17">
        <v>501</v>
      </c>
      <c r="B310" s="17" t="s">
        <v>100</v>
      </c>
      <c r="C310" s="17" t="s">
        <v>102</v>
      </c>
      <c r="D310" s="17">
        <v>15</v>
      </c>
      <c r="E310" s="17" t="s">
        <v>95</v>
      </c>
      <c r="F310" s="17">
        <v>1</v>
      </c>
      <c r="G310" s="17" t="str">
        <f t="shared" si="3"/>
        <v>M0111-C-15-1</v>
      </c>
      <c r="H310" s="17">
        <v>162.36000000000001</v>
      </c>
      <c r="I310" s="17">
        <v>163.25</v>
      </c>
    </row>
    <row r="311" spans="1:9">
      <c r="A311" s="17">
        <v>501</v>
      </c>
      <c r="B311" s="17" t="s">
        <v>100</v>
      </c>
      <c r="C311" s="17" t="s">
        <v>102</v>
      </c>
      <c r="D311" s="17">
        <v>17</v>
      </c>
      <c r="E311" s="17" t="s">
        <v>95</v>
      </c>
      <c r="F311" s="17">
        <v>1</v>
      </c>
      <c r="G311" s="17" t="str">
        <f t="shared" si="3"/>
        <v>M0111-C-17-1</v>
      </c>
      <c r="H311" s="17">
        <v>166.36</v>
      </c>
      <c r="I311" s="17">
        <v>166.53</v>
      </c>
    </row>
    <row r="312" spans="1:9">
      <c r="A312" s="17">
        <v>501</v>
      </c>
      <c r="B312" s="17" t="s">
        <v>100</v>
      </c>
      <c r="C312" s="17" t="s">
        <v>102</v>
      </c>
      <c r="D312" s="17">
        <v>18</v>
      </c>
      <c r="E312" s="17" t="s">
        <v>95</v>
      </c>
      <c r="F312" s="17">
        <v>1</v>
      </c>
      <c r="G312" s="17" t="str">
        <f t="shared" ref="G312:G375" si="4">CONCATENATE(B312, "-",C312, "-", D312, "-", F312)</f>
        <v>M0111-C-18-1</v>
      </c>
      <c r="H312" s="17">
        <v>168.36</v>
      </c>
      <c r="I312" s="17">
        <v>169.86</v>
      </c>
    </row>
    <row r="313" spans="1:9">
      <c r="A313" s="17">
        <v>501</v>
      </c>
      <c r="B313" s="17" t="s">
        <v>100</v>
      </c>
      <c r="C313" s="17" t="s">
        <v>102</v>
      </c>
      <c r="D313" s="17">
        <v>18</v>
      </c>
      <c r="E313" s="17" t="s">
        <v>95</v>
      </c>
      <c r="F313" s="17">
        <v>2</v>
      </c>
      <c r="G313" s="17" t="str">
        <f t="shared" si="4"/>
        <v>M0111-C-18-2</v>
      </c>
      <c r="H313" s="17">
        <v>169.86</v>
      </c>
      <c r="I313" s="17">
        <v>171.22</v>
      </c>
    </row>
    <row r="314" spans="1:9">
      <c r="A314" s="17">
        <v>501</v>
      </c>
      <c r="B314" s="17" t="s">
        <v>100</v>
      </c>
      <c r="C314" s="17" t="s">
        <v>102</v>
      </c>
      <c r="D314" s="17">
        <v>19</v>
      </c>
      <c r="E314" s="17" t="s">
        <v>103</v>
      </c>
      <c r="F314" s="17">
        <v>1</v>
      </c>
      <c r="G314" s="17" t="str">
        <f t="shared" si="4"/>
        <v>M0111-C-19-1</v>
      </c>
      <c r="H314" s="17">
        <v>150.36000000000001</v>
      </c>
      <c r="I314" s="17">
        <v>165.36</v>
      </c>
    </row>
    <row r="315" spans="1:9">
      <c r="A315" s="17">
        <v>501</v>
      </c>
      <c r="B315" s="17" t="s">
        <v>100</v>
      </c>
      <c r="C315" s="17" t="s">
        <v>102</v>
      </c>
      <c r="D315" s="17">
        <v>20</v>
      </c>
      <c r="E315" s="17" t="s">
        <v>95</v>
      </c>
      <c r="F315" s="17">
        <v>1</v>
      </c>
      <c r="G315" s="17" t="str">
        <f t="shared" si="4"/>
        <v>M0111-C-20-1</v>
      </c>
      <c r="H315" s="17">
        <v>171.36</v>
      </c>
      <c r="I315" s="17">
        <v>172.86</v>
      </c>
    </row>
    <row r="316" spans="1:9">
      <c r="A316" s="17">
        <v>501</v>
      </c>
      <c r="B316" s="17" t="s">
        <v>100</v>
      </c>
      <c r="C316" s="17" t="s">
        <v>102</v>
      </c>
      <c r="D316" s="17">
        <v>20</v>
      </c>
      <c r="E316" s="17" t="s">
        <v>95</v>
      </c>
      <c r="F316" s="17">
        <v>2</v>
      </c>
      <c r="G316" s="17" t="str">
        <f t="shared" si="4"/>
        <v>M0111-C-20-2</v>
      </c>
      <c r="H316" s="17">
        <v>172.86</v>
      </c>
      <c r="I316" s="17">
        <v>174.36</v>
      </c>
    </row>
    <row r="317" spans="1:9">
      <c r="A317" s="17">
        <v>501</v>
      </c>
      <c r="B317" s="17" t="s">
        <v>100</v>
      </c>
      <c r="C317" s="17" t="s">
        <v>102</v>
      </c>
      <c r="D317" s="17">
        <v>20</v>
      </c>
      <c r="E317" s="17" t="s">
        <v>95</v>
      </c>
      <c r="F317" s="17">
        <v>3</v>
      </c>
      <c r="G317" s="17" t="str">
        <f t="shared" si="4"/>
        <v>M0111-C-20-3</v>
      </c>
      <c r="H317" s="17">
        <v>174.36</v>
      </c>
      <c r="I317" s="17">
        <v>174.68</v>
      </c>
    </row>
    <row r="318" spans="1:9">
      <c r="A318" s="17">
        <v>501</v>
      </c>
      <c r="B318" s="17" t="s">
        <v>100</v>
      </c>
      <c r="C318" s="17" t="s">
        <v>102</v>
      </c>
      <c r="D318" s="17">
        <v>21</v>
      </c>
      <c r="E318" s="17" t="s">
        <v>95</v>
      </c>
      <c r="F318" s="17">
        <v>1</v>
      </c>
      <c r="G318" s="17" t="str">
        <f t="shared" si="4"/>
        <v>M0111-C-21-1</v>
      </c>
      <c r="H318" s="17">
        <v>177.36</v>
      </c>
      <c r="I318" s="17">
        <v>178.88</v>
      </c>
    </row>
    <row r="319" spans="1:9">
      <c r="A319" s="17">
        <v>501</v>
      </c>
      <c r="B319" s="17" t="s">
        <v>100</v>
      </c>
      <c r="C319" s="17" t="s">
        <v>102</v>
      </c>
      <c r="D319" s="17">
        <v>21</v>
      </c>
      <c r="E319" s="17" t="s">
        <v>95</v>
      </c>
      <c r="F319" s="17">
        <v>2</v>
      </c>
      <c r="G319" s="17" t="str">
        <f t="shared" si="4"/>
        <v>M0111-C-21-2</v>
      </c>
      <c r="H319" s="17">
        <v>178.88</v>
      </c>
      <c r="I319" s="17">
        <v>180.39</v>
      </c>
    </row>
    <row r="320" spans="1:9">
      <c r="A320" s="17">
        <v>501</v>
      </c>
      <c r="B320" s="17" t="s">
        <v>100</v>
      </c>
      <c r="C320" s="17" t="s">
        <v>102</v>
      </c>
      <c r="D320" s="17">
        <v>21</v>
      </c>
      <c r="E320" s="17" t="s">
        <v>95</v>
      </c>
      <c r="F320" s="17">
        <v>3</v>
      </c>
      <c r="G320" s="17" t="str">
        <f t="shared" si="4"/>
        <v>M0111-C-21-3</v>
      </c>
      <c r="H320" s="17">
        <v>180.39</v>
      </c>
      <c r="I320" s="17">
        <v>180.72</v>
      </c>
    </row>
    <row r="321" spans="1:9">
      <c r="A321" s="17">
        <v>501</v>
      </c>
      <c r="B321" s="17" t="s">
        <v>100</v>
      </c>
      <c r="C321" s="17" t="s">
        <v>102</v>
      </c>
      <c r="D321" s="17">
        <v>22</v>
      </c>
      <c r="E321" s="17" t="s">
        <v>95</v>
      </c>
      <c r="F321" s="17">
        <v>1</v>
      </c>
      <c r="G321" s="17" t="str">
        <f t="shared" si="4"/>
        <v>M0111-C-22-1</v>
      </c>
      <c r="H321" s="17">
        <v>185</v>
      </c>
      <c r="I321" s="17">
        <v>185.79</v>
      </c>
    </row>
    <row r="322" spans="1:9">
      <c r="A322" s="17">
        <v>501</v>
      </c>
      <c r="B322" s="17" t="s">
        <v>100</v>
      </c>
      <c r="C322" s="17" t="s">
        <v>102</v>
      </c>
      <c r="D322" s="17">
        <v>23</v>
      </c>
      <c r="E322" s="17" t="s">
        <v>95</v>
      </c>
      <c r="F322" s="17">
        <v>1</v>
      </c>
      <c r="G322" s="17" t="str">
        <f t="shared" si="4"/>
        <v>M0111-C-23-1</v>
      </c>
      <c r="H322" s="17">
        <v>186.36</v>
      </c>
      <c r="I322" s="17">
        <v>187.87</v>
      </c>
    </row>
    <row r="323" spans="1:9">
      <c r="A323" s="17">
        <v>501</v>
      </c>
      <c r="B323" s="17" t="s">
        <v>100</v>
      </c>
      <c r="C323" s="17" t="s">
        <v>102</v>
      </c>
      <c r="D323" s="17">
        <v>23</v>
      </c>
      <c r="E323" s="17" t="s">
        <v>95</v>
      </c>
      <c r="F323" s="17">
        <v>2</v>
      </c>
      <c r="G323" s="17" t="str">
        <f t="shared" si="4"/>
        <v>M0111-C-23-2</v>
      </c>
      <c r="H323" s="17">
        <v>187.87</v>
      </c>
      <c r="I323" s="17">
        <v>189.37</v>
      </c>
    </row>
    <row r="324" spans="1:9">
      <c r="A324" s="17">
        <v>501</v>
      </c>
      <c r="B324" s="17" t="s">
        <v>100</v>
      </c>
      <c r="C324" s="17" t="s">
        <v>102</v>
      </c>
      <c r="D324" s="17">
        <v>23</v>
      </c>
      <c r="E324" s="17" t="s">
        <v>95</v>
      </c>
      <c r="F324" s="17">
        <v>3</v>
      </c>
      <c r="G324" s="17" t="str">
        <f t="shared" si="4"/>
        <v>M0111-C-23-3</v>
      </c>
      <c r="H324" s="17">
        <v>189.37</v>
      </c>
      <c r="I324" s="17">
        <v>189.71</v>
      </c>
    </row>
    <row r="325" spans="1:9">
      <c r="A325" s="17">
        <v>501</v>
      </c>
      <c r="B325" s="17" t="s">
        <v>100</v>
      </c>
      <c r="C325" s="17" t="s">
        <v>102</v>
      </c>
      <c r="D325" s="17">
        <v>24</v>
      </c>
      <c r="E325" s="17" t="s">
        <v>95</v>
      </c>
      <c r="F325" s="17">
        <v>1</v>
      </c>
      <c r="G325" s="17" t="str">
        <f t="shared" si="4"/>
        <v>M0111-C-24-1</v>
      </c>
      <c r="H325" s="17">
        <v>189.36</v>
      </c>
      <c r="I325" s="17">
        <v>190.86</v>
      </c>
    </row>
    <row r="326" spans="1:9">
      <c r="A326" s="17">
        <v>501</v>
      </c>
      <c r="B326" s="17" t="s">
        <v>100</v>
      </c>
      <c r="C326" s="17" t="s">
        <v>102</v>
      </c>
      <c r="D326" s="17">
        <v>24</v>
      </c>
      <c r="E326" s="17" t="s">
        <v>95</v>
      </c>
      <c r="F326" s="17">
        <v>2</v>
      </c>
      <c r="G326" s="17" t="str">
        <f t="shared" si="4"/>
        <v>M0111-C-24-2</v>
      </c>
      <c r="H326" s="17">
        <v>190.86</v>
      </c>
      <c r="I326" s="17">
        <v>192.36</v>
      </c>
    </row>
    <row r="327" spans="1:9">
      <c r="A327" s="17">
        <v>501</v>
      </c>
      <c r="B327" s="17" t="s">
        <v>100</v>
      </c>
      <c r="C327" s="17" t="s">
        <v>102</v>
      </c>
      <c r="D327" s="17">
        <v>24</v>
      </c>
      <c r="E327" s="17" t="s">
        <v>95</v>
      </c>
      <c r="F327" s="17">
        <v>3</v>
      </c>
      <c r="G327" s="17" t="str">
        <f t="shared" si="4"/>
        <v>M0111-C-24-3</v>
      </c>
      <c r="H327" s="17">
        <v>192.36</v>
      </c>
      <c r="I327" s="17">
        <v>192.51</v>
      </c>
    </row>
    <row r="328" spans="1:9">
      <c r="A328" s="17">
        <v>501</v>
      </c>
      <c r="B328" s="17" t="s">
        <v>100</v>
      </c>
      <c r="C328" s="17" t="s">
        <v>102</v>
      </c>
      <c r="D328" s="17">
        <v>25</v>
      </c>
      <c r="E328" s="17" t="s">
        <v>95</v>
      </c>
      <c r="F328" s="17">
        <v>1</v>
      </c>
      <c r="G328" s="17" t="str">
        <f t="shared" si="4"/>
        <v>M0111-C-25-1</v>
      </c>
      <c r="H328" s="17">
        <v>192.36</v>
      </c>
      <c r="I328" s="17">
        <v>193.86</v>
      </c>
    </row>
    <row r="329" spans="1:9">
      <c r="A329" s="17">
        <v>501</v>
      </c>
      <c r="B329" s="17" t="s">
        <v>100</v>
      </c>
      <c r="C329" s="17" t="s">
        <v>102</v>
      </c>
      <c r="D329" s="17">
        <v>25</v>
      </c>
      <c r="E329" s="17" t="s">
        <v>95</v>
      </c>
      <c r="F329" s="17">
        <v>2</v>
      </c>
      <c r="G329" s="17" t="str">
        <f t="shared" si="4"/>
        <v>M0111-C-25-2</v>
      </c>
      <c r="H329" s="17">
        <v>193.86</v>
      </c>
      <c r="I329" s="17">
        <v>195.17</v>
      </c>
    </row>
    <row r="330" spans="1:9">
      <c r="A330" s="17">
        <v>501</v>
      </c>
      <c r="B330" s="17" t="s">
        <v>100</v>
      </c>
      <c r="C330" s="17" t="s">
        <v>102</v>
      </c>
      <c r="D330" s="17">
        <v>26</v>
      </c>
      <c r="E330" s="17" t="s">
        <v>95</v>
      </c>
      <c r="F330" s="17">
        <v>1</v>
      </c>
      <c r="G330" s="17" t="str">
        <f t="shared" si="4"/>
        <v>M0111-C-26-1</v>
      </c>
      <c r="H330" s="17">
        <v>195.36</v>
      </c>
      <c r="I330" s="17">
        <v>196.87</v>
      </c>
    </row>
    <row r="331" spans="1:9">
      <c r="A331" s="17">
        <v>501</v>
      </c>
      <c r="B331" s="17" t="s">
        <v>100</v>
      </c>
      <c r="C331" s="17" t="s">
        <v>102</v>
      </c>
      <c r="D331" s="17">
        <v>26</v>
      </c>
      <c r="E331" s="17" t="s">
        <v>95</v>
      </c>
      <c r="F331" s="17">
        <v>2</v>
      </c>
      <c r="G331" s="17" t="str">
        <f t="shared" si="4"/>
        <v>M0111-C-26-2</v>
      </c>
      <c r="H331" s="17">
        <v>196.87</v>
      </c>
      <c r="I331" s="17">
        <v>197.67</v>
      </c>
    </row>
    <row r="332" spans="1:9">
      <c r="A332" s="17">
        <v>501</v>
      </c>
      <c r="B332" s="17" t="s">
        <v>100</v>
      </c>
      <c r="C332" s="17" t="s">
        <v>102</v>
      </c>
      <c r="D332" s="17">
        <v>27</v>
      </c>
      <c r="E332" s="17" t="s">
        <v>95</v>
      </c>
      <c r="F332" s="17">
        <v>1</v>
      </c>
      <c r="G332" s="17" t="str">
        <f t="shared" si="4"/>
        <v>M0111-C-27-1</v>
      </c>
      <c r="H332" s="17">
        <v>198.36</v>
      </c>
      <c r="I332" s="17">
        <v>199.86</v>
      </c>
    </row>
    <row r="333" spans="1:9">
      <c r="A333" s="17">
        <v>501</v>
      </c>
      <c r="B333" s="17" t="s">
        <v>100</v>
      </c>
      <c r="C333" s="17" t="s">
        <v>102</v>
      </c>
      <c r="D333" s="17">
        <v>27</v>
      </c>
      <c r="E333" s="17" t="s">
        <v>95</v>
      </c>
      <c r="F333" s="17">
        <v>2</v>
      </c>
      <c r="G333" s="17" t="str">
        <f t="shared" si="4"/>
        <v>M0111-C-27-2</v>
      </c>
      <c r="H333" s="17">
        <v>199.86</v>
      </c>
      <c r="I333" s="17">
        <v>200.97</v>
      </c>
    </row>
    <row r="334" spans="1:9">
      <c r="A334" s="17">
        <v>501</v>
      </c>
      <c r="B334" s="17" t="s">
        <v>100</v>
      </c>
      <c r="C334" s="17" t="s">
        <v>102</v>
      </c>
      <c r="D334" s="17">
        <v>28</v>
      </c>
      <c r="E334" s="17" t="s">
        <v>95</v>
      </c>
      <c r="F334" s="17">
        <v>1</v>
      </c>
      <c r="G334" s="17" t="str">
        <f t="shared" si="4"/>
        <v>M0111-C-28-1</v>
      </c>
      <c r="H334" s="17">
        <v>201.36</v>
      </c>
      <c r="I334" s="17">
        <v>202.86</v>
      </c>
    </row>
    <row r="335" spans="1:9">
      <c r="A335" s="17">
        <v>501</v>
      </c>
      <c r="B335" s="17" t="s">
        <v>100</v>
      </c>
      <c r="C335" s="17" t="s">
        <v>102</v>
      </c>
      <c r="D335" s="17">
        <v>28</v>
      </c>
      <c r="E335" s="17" t="s">
        <v>95</v>
      </c>
      <c r="F335" s="17">
        <v>2</v>
      </c>
      <c r="G335" s="17" t="str">
        <f t="shared" si="4"/>
        <v>M0111-C-28-2</v>
      </c>
      <c r="H335" s="17">
        <v>202.86</v>
      </c>
      <c r="I335" s="17">
        <v>204.33</v>
      </c>
    </row>
    <row r="336" spans="1:9">
      <c r="A336" s="17">
        <v>501</v>
      </c>
      <c r="B336" s="17" t="s">
        <v>100</v>
      </c>
      <c r="C336" s="17" t="s">
        <v>102</v>
      </c>
      <c r="D336" s="17">
        <v>28</v>
      </c>
      <c r="E336" s="17" t="s">
        <v>95</v>
      </c>
      <c r="F336" s="17">
        <v>3</v>
      </c>
      <c r="G336" s="17" t="str">
        <f t="shared" si="4"/>
        <v>M0111-C-28-3</v>
      </c>
      <c r="H336" s="17">
        <v>204.33</v>
      </c>
      <c r="I336" s="17">
        <v>204.51</v>
      </c>
    </row>
    <row r="337" spans="1:9">
      <c r="A337" s="17">
        <v>501</v>
      </c>
      <c r="B337" s="17" t="s">
        <v>100</v>
      </c>
      <c r="C337" s="17" t="s">
        <v>102</v>
      </c>
      <c r="D337" s="17">
        <v>29</v>
      </c>
      <c r="E337" s="17" t="s">
        <v>95</v>
      </c>
      <c r="F337" s="17">
        <v>1</v>
      </c>
      <c r="G337" s="17" t="str">
        <f t="shared" si="4"/>
        <v>M0111-C-29-1</v>
      </c>
      <c r="H337" s="17">
        <v>204.36</v>
      </c>
      <c r="I337" s="17">
        <v>204.69</v>
      </c>
    </row>
    <row r="338" spans="1:9">
      <c r="A338" s="17">
        <v>501</v>
      </c>
      <c r="B338" s="17" t="s">
        <v>100</v>
      </c>
      <c r="C338" s="17" t="s">
        <v>102</v>
      </c>
      <c r="D338" s="17">
        <v>30</v>
      </c>
      <c r="E338" s="17" t="s">
        <v>95</v>
      </c>
      <c r="F338" s="17">
        <v>1</v>
      </c>
      <c r="G338" s="17" t="str">
        <f t="shared" si="4"/>
        <v>M0111-C-30-1</v>
      </c>
      <c r="H338" s="17">
        <v>207.36</v>
      </c>
      <c r="I338" s="17">
        <v>208.87</v>
      </c>
    </row>
    <row r="339" spans="1:9">
      <c r="A339" s="17">
        <v>501</v>
      </c>
      <c r="B339" s="17" t="s">
        <v>100</v>
      </c>
      <c r="C339" s="17" t="s">
        <v>102</v>
      </c>
      <c r="D339" s="17">
        <v>30</v>
      </c>
      <c r="E339" s="17" t="s">
        <v>95</v>
      </c>
      <c r="F339" s="17">
        <v>2</v>
      </c>
      <c r="G339" s="17" t="str">
        <f t="shared" si="4"/>
        <v>M0111-C-30-2</v>
      </c>
      <c r="H339" s="17">
        <v>208.87</v>
      </c>
      <c r="I339" s="17">
        <v>209.97</v>
      </c>
    </row>
    <row r="340" spans="1:9">
      <c r="A340" s="17">
        <v>501</v>
      </c>
      <c r="B340" s="17" t="s">
        <v>100</v>
      </c>
      <c r="C340" s="17" t="s">
        <v>102</v>
      </c>
      <c r="D340" s="17">
        <v>30</v>
      </c>
      <c r="E340" s="17" t="s">
        <v>95</v>
      </c>
      <c r="F340" s="17">
        <v>3</v>
      </c>
      <c r="G340" s="17" t="str">
        <f t="shared" si="4"/>
        <v>M0111-C-30-3</v>
      </c>
      <c r="H340" s="17">
        <v>209.97</v>
      </c>
      <c r="I340" s="17">
        <v>210.25</v>
      </c>
    </row>
    <row r="341" spans="1:9">
      <c r="A341" s="17">
        <v>501</v>
      </c>
      <c r="B341" s="17" t="s">
        <v>100</v>
      </c>
      <c r="C341" s="17" t="s">
        <v>102</v>
      </c>
      <c r="D341" s="17">
        <v>31</v>
      </c>
      <c r="E341" s="17" t="s">
        <v>95</v>
      </c>
      <c r="F341" s="17">
        <v>1</v>
      </c>
      <c r="G341" s="17" t="str">
        <f t="shared" si="4"/>
        <v>M0111-C-31-1</v>
      </c>
      <c r="H341" s="17">
        <v>210.36</v>
      </c>
      <c r="I341" s="17">
        <v>211.67</v>
      </c>
    </row>
    <row r="342" spans="1:9">
      <c r="A342" s="17">
        <v>501</v>
      </c>
      <c r="B342" s="17" t="s">
        <v>100</v>
      </c>
      <c r="C342" s="17" t="s">
        <v>102</v>
      </c>
      <c r="D342" s="17">
        <v>32</v>
      </c>
      <c r="E342" s="17" t="s">
        <v>95</v>
      </c>
      <c r="F342" s="17">
        <v>1</v>
      </c>
      <c r="G342" s="17" t="str">
        <f t="shared" si="4"/>
        <v>M0111-C-32-1</v>
      </c>
      <c r="H342" s="17">
        <v>213.36</v>
      </c>
      <c r="I342" s="17">
        <v>213.83</v>
      </c>
    </row>
    <row r="343" spans="1:9">
      <c r="A343" s="17">
        <v>501</v>
      </c>
      <c r="B343" s="17" t="s">
        <v>100</v>
      </c>
      <c r="C343" s="17" t="s">
        <v>102</v>
      </c>
      <c r="D343" s="17">
        <v>33</v>
      </c>
      <c r="E343" s="17" t="s">
        <v>95</v>
      </c>
      <c r="F343" s="17">
        <v>1</v>
      </c>
      <c r="G343" s="17" t="str">
        <f t="shared" si="4"/>
        <v>M0111-C-33-1</v>
      </c>
      <c r="H343" s="17">
        <v>216.36</v>
      </c>
      <c r="I343" s="17">
        <v>217.79</v>
      </c>
    </row>
    <row r="344" spans="1:9">
      <c r="A344" s="17">
        <v>501</v>
      </c>
      <c r="B344" s="17" t="s">
        <v>100</v>
      </c>
      <c r="C344" s="17" t="s">
        <v>102</v>
      </c>
      <c r="D344" s="17">
        <v>33</v>
      </c>
      <c r="E344" s="17" t="s">
        <v>95</v>
      </c>
      <c r="F344" s="17">
        <v>2</v>
      </c>
      <c r="G344" s="17" t="str">
        <f t="shared" si="4"/>
        <v>M0111-C-33-2</v>
      </c>
      <c r="H344" s="17">
        <v>217.79</v>
      </c>
      <c r="I344" s="17">
        <v>218.68</v>
      </c>
    </row>
    <row r="345" spans="1:9">
      <c r="A345" s="17">
        <v>501</v>
      </c>
      <c r="B345" s="17" t="s">
        <v>100</v>
      </c>
      <c r="C345" s="17" t="s">
        <v>102</v>
      </c>
      <c r="D345" s="17">
        <v>34</v>
      </c>
      <c r="E345" s="17" t="s">
        <v>95</v>
      </c>
      <c r="F345" s="17">
        <v>1</v>
      </c>
      <c r="G345" s="17" t="str">
        <f t="shared" si="4"/>
        <v>M0111-C-34-1</v>
      </c>
      <c r="H345" s="17">
        <v>219.36</v>
      </c>
      <c r="I345" s="17">
        <v>220.86</v>
      </c>
    </row>
    <row r="346" spans="1:9">
      <c r="A346" s="17">
        <v>501</v>
      </c>
      <c r="B346" s="17" t="s">
        <v>100</v>
      </c>
      <c r="C346" s="17" t="s">
        <v>102</v>
      </c>
      <c r="D346" s="17">
        <v>34</v>
      </c>
      <c r="E346" s="17" t="s">
        <v>95</v>
      </c>
      <c r="F346" s="17">
        <v>2</v>
      </c>
      <c r="G346" s="17" t="str">
        <f t="shared" si="4"/>
        <v>M0111-C-34-2</v>
      </c>
      <c r="H346" s="17">
        <v>220.86</v>
      </c>
      <c r="I346" s="17">
        <v>221.74</v>
      </c>
    </row>
    <row r="347" spans="1:9">
      <c r="A347" s="17">
        <v>501</v>
      </c>
      <c r="B347" s="17" t="s">
        <v>100</v>
      </c>
      <c r="C347" s="17" t="s">
        <v>102</v>
      </c>
      <c r="D347" s="17">
        <v>35</v>
      </c>
      <c r="E347" s="17" t="s">
        <v>95</v>
      </c>
      <c r="F347" s="17">
        <v>1</v>
      </c>
      <c r="G347" s="17" t="str">
        <f t="shared" si="4"/>
        <v>M0111-C-35-1</v>
      </c>
      <c r="H347" s="17">
        <v>222.36</v>
      </c>
      <c r="I347" s="17">
        <v>222.99</v>
      </c>
    </row>
    <row r="348" spans="1:9">
      <c r="A348" s="17">
        <v>501</v>
      </c>
      <c r="B348" s="17" t="s">
        <v>100</v>
      </c>
      <c r="C348" s="17" t="s">
        <v>102</v>
      </c>
      <c r="D348" s="17">
        <v>36</v>
      </c>
      <c r="E348" s="17" t="s">
        <v>95</v>
      </c>
      <c r="F348" s="17">
        <v>1</v>
      </c>
      <c r="G348" s="17" t="str">
        <f t="shared" si="4"/>
        <v>M0111-C-36-1</v>
      </c>
      <c r="H348" s="17">
        <v>223.16</v>
      </c>
      <c r="I348" s="17">
        <v>223.66</v>
      </c>
    </row>
    <row r="349" spans="1:9">
      <c r="A349" s="17">
        <v>501</v>
      </c>
      <c r="B349" s="17" t="s">
        <v>100</v>
      </c>
      <c r="C349" s="17" t="s">
        <v>102</v>
      </c>
      <c r="D349" s="17">
        <v>37</v>
      </c>
      <c r="E349" s="17" t="s">
        <v>95</v>
      </c>
      <c r="F349" s="17">
        <v>1</v>
      </c>
      <c r="G349" s="17" t="str">
        <f t="shared" si="4"/>
        <v>M0111-C-37-1</v>
      </c>
      <c r="H349" s="17">
        <v>225.36</v>
      </c>
      <c r="I349" s="17">
        <v>225.39</v>
      </c>
    </row>
    <row r="350" spans="1:9">
      <c r="A350" s="17">
        <v>501</v>
      </c>
      <c r="B350" s="17" t="s">
        <v>100</v>
      </c>
      <c r="C350" s="17" t="s">
        <v>102</v>
      </c>
      <c r="D350" s="17">
        <v>38</v>
      </c>
      <c r="E350" s="17" t="s">
        <v>95</v>
      </c>
      <c r="F350" s="17">
        <v>1</v>
      </c>
      <c r="G350" s="17" t="str">
        <f t="shared" si="4"/>
        <v>M0111-C-38-1</v>
      </c>
      <c r="H350" s="17">
        <v>228.36</v>
      </c>
      <c r="I350" s="17">
        <v>228.38</v>
      </c>
    </row>
    <row r="351" spans="1:9">
      <c r="A351" s="17">
        <v>501</v>
      </c>
      <c r="B351" s="17" t="s">
        <v>100</v>
      </c>
      <c r="C351" s="17" t="s">
        <v>102</v>
      </c>
      <c r="D351" s="17">
        <v>39</v>
      </c>
      <c r="E351" s="17" t="s">
        <v>95</v>
      </c>
      <c r="F351" s="17">
        <v>1</v>
      </c>
      <c r="G351" s="17" t="str">
        <f t="shared" si="4"/>
        <v>M0111-C-39-1</v>
      </c>
      <c r="H351" s="17">
        <v>229.36</v>
      </c>
      <c r="I351" s="17">
        <v>230.3</v>
      </c>
    </row>
    <row r="352" spans="1:9">
      <c r="A352" s="17">
        <v>501</v>
      </c>
      <c r="B352" s="17" t="s">
        <v>104</v>
      </c>
      <c r="C352" s="17" t="s">
        <v>92</v>
      </c>
      <c r="D352" s="17">
        <v>1</v>
      </c>
      <c r="E352" s="17" t="s">
        <v>93</v>
      </c>
      <c r="F352" s="17">
        <v>1</v>
      </c>
      <c r="G352" s="17" t="str">
        <f t="shared" si="4"/>
        <v>M0112-A-1-1</v>
      </c>
      <c r="H352" s="17">
        <v>0</v>
      </c>
      <c r="I352" s="17">
        <v>0.71</v>
      </c>
    </row>
    <row r="353" spans="1:9">
      <c r="A353" s="17">
        <v>501</v>
      </c>
      <c r="B353" s="17" t="s">
        <v>104</v>
      </c>
      <c r="C353" s="17" t="s">
        <v>92</v>
      </c>
      <c r="D353" s="17">
        <v>1</v>
      </c>
      <c r="E353" s="17" t="s">
        <v>93</v>
      </c>
      <c r="F353" s="17">
        <v>2</v>
      </c>
      <c r="G353" s="17" t="str">
        <f t="shared" si="4"/>
        <v>M0112-A-1-2</v>
      </c>
      <c r="H353" s="17">
        <v>0.71</v>
      </c>
      <c r="I353" s="17">
        <v>2.21</v>
      </c>
    </row>
    <row r="354" spans="1:9">
      <c r="A354" s="17">
        <v>501</v>
      </c>
      <c r="B354" s="17" t="s">
        <v>104</v>
      </c>
      <c r="C354" s="17" t="s">
        <v>92</v>
      </c>
      <c r="D354" s="17">
        <v>2</v>
      </c>
      <c r="E354" s="17" t="s">
        <v>93</v>
      </c>
      <c r="F354" s="17">
        <v>1</v>
      </c>
      <c r="G354" s="17" t="str">
        <f t="shared" si="4"/>
        <v>M0112-A-2-1</v>
      </c>
      <c r="H354" s="17">
        <v>2.21</v>
      </c>
      <c r="I354" s="17">
        <v>3.71</v>
      </c>
    </row>
    <row r="355" spans="1:9">
      <c r="A355" s="17">
        <v>501</v>
      </c>
      <c r="B355" s="17" t="s">
        <v>104</v>
      </c>
      <c r="C355" s="17" t="s">
        <v>92</v>
      </c>
      <c r="D355" s="17">
        <v>2</v>
      </c>
      <c r="E355" s="17" t="s">
        <v>93</v>
      </c>
      <c r="F355" s="17">
        <v>2</v>
      </c>
      <c r="G355" s="17" t="str">
        <f t="shared" si="4"/>
        <v>M0112-A-2-2</v>
      </c>
      <c r="H355" s="17">
        <v>3.71</v>
      </c>
      <c r="I355" s="17">
        <v>5.01</v>
      </c>
    </row>
    <row r="356" spans="1:9">
      <c r="A356" s="17">
        <v>501</v>
      </c>
      <c r="B356" s="17" t="s">
        <v>104</v>
      </c>
      <c r="C356" s="17" t="s">
        <v>92</v>
      </c>
      <c r="D356" s="17">
        <v>3</v>
      </c>
      <c r="E356" s="17" t="s">
        <v>93</v>
      </c>
      <c r="F356" s="17">
        <v>1</v>
      </c>
      <c r="G356" s="17" t="str">
        <f t="shared" si="4"/>
        <v>M0112-A-3-1</v>
      </c>
      <c r="H356" s="17">
        <v>5.01</v>
      </c>
      <c r="I356" s="17">
        <v>6.52</v>
      </c>
    </row>
    <row r="357" spans="1:9">
      <c r="A357" s="17">
        <v>501</v>
      </c>
      <c r="B357" s="17" t="s">
        <v>104</v>
      </c>
      <c r="C357" s="17" t="s">
        <v>92</v>
      </c>
      <c r="D357" s="17">
        <v>3</v>
      </c>
      <c r="E357" s="17" t="s">
        <v>93</v>
      </c>
      <c r="F357" s="17">
        <v>2</v>
      </c>
      <c r="G357" s="17" t="str">
        <f t="shared" si="4"/>
        <v>M0112-A-3-2</v>
      </c>
      <c r="H357" s="17">
        <v>6.52</v>
      </c>
      <c r="I357" s="17">
        <v>7.17</v>
      </c>
    </row>
    <row r="358" spans="1:9">
      <c r="A358" s="17">
        <v>501</v>
      </c>
      <c r="B358" s="17" t="s">
        <v>104</v>
      </c>
      <c r="C358" s="17" t="s">
        <v>92</v>
      </c>
      <c r="D358" s="17">
        <v>4</v>
      </c>
      <c r="E358" s="17" t="s">
        <v>93</v>
      </c>
      <c r="F358" s="17">
        <v>1</v>
      </c>
      <c r="G358" s="17" t="str">
        <f t="shared" si="4"/>
        <v>M0112-A-4-1</v>
      </c>
      <c r="H358" s="17">
        <v>7.17</v>
      </c>
      <c r="I358" s="17">
        <v>8.67</v>
      </c>
    </row>
    <row r="359" spans="1:9">
      <c r="A359" s="17">
        <v>501</v>
      </c>
      <c r="B359" s="17" t="s">
        <v>104</v>
      </c>
      <c r="C359" s="17" t="s">
        <v>92</v>
      </c>
      <c r="D359" s="17">
        <v>4</v>
      </c>
      <c r="E359" s="17" t="s">
        <v>93</v>
      </c>
      <c r="F359" s="17">
        <v>2</v>
      </c>
      <c r="G359" s="17" t="str">
        <f t="shared" si="4"/>
        <v>M0112-A-4-2</v>
      </c>
      <c r="H359" s="17">
        <v>8.67</v>
      </c>
      <c r="I359" s="17">
        <v>9.25</v>
      </c>
    </row>
    <row r="360" spans="1:9">
      <c r="A360" s="17">
        <v>501</v>
      </c>
      <c r="B360" s="17" t="s">
        <v>104</v>
      </c>
      <c r="C360" s="17" t="s">
        <v>92</v>
      </c>
      <c r="D360" s="17">
        <v>5</v>
      </c>
      <c r="E360" s="17" t="s">
        <v>93</v>
      </c>
      <c r="F360" s="17">
        <v>1</v>
      </c>
      <c r="G360" s="17" t="str">
        <f t="shared" si="4"/>
        <v>M0112-A-5-1</v>
      </c>
      <c r="H360" s="17">
        <v>9.25</v>
      </c>
      <c r="I360" s="17">
        <v>10.5</v>
      </c>
    </row>
    <row r="361" spans="1:9">
      <c r="A361" s="17">
        <v>501</v>
      </c>
      <c r="B361" s="17" t="s">
        <v>104</v>
      </c>
      <c r="C361" s="17" t="s">
        <v>92</v>
      </c>
      <c r="D361" s="17">
        <v>5</v>
      </c>
      <c r="E361" s="17" t="s">
        <v>93</v>
      </c>
      <c r="F361" s="17">
        <v>2</v>
      </c>
      <c r="G361" s="17" t="str">
        <f t="shared" si="4"/>
        <v>M0112-A-5-2</v>
      </c>
      <c r="H361" s="17">
        <v>10.5</v>
      </c>
      <c r="I361" s="17">
        <v>11.45</v>
      </c>
    </row>
    <row r="362" spans="1:9">
      <c r="A362" s="17">
        <v>501</v>
      </c>
      <c r="B362" s="17" t="s">
        <v>104</v>
      </c>
      <c r="C362" s="17" t="s">
        <v>92</v>
      </c>
      <c r="D362" s="17">
        <v>6</v>
      </c>
      <c r="E362" s="17" t="s">
        <v>93</v>
      </c>
      <c r="F362" s="17">
        <v>1</v>
      </c>
      <c r="G362" s="17" t="str">
        <f t="shared" si="4"/>
        <v>M0112-A-6-1</v>
      </c>
      <c r="H362" s="17">
        <v>11.45</v>
      </c>
      <c r="I362" s="17">
        <v>12.21</v>
      </c>
    </row>
    <row r="363" spans="1:9">
      <c r="A363" s="17">
        <v>501</v>
      </c>
      <c r="B363" s="17" t="s">
        <v>104</v>
      </c>
      <c r="C363" s="17" t="s">
        <v>92</v>
      </c>
      <c r="D363" s="17">
        <v>7</v>
      </c>
      <c r="E363" s="17" t="s">
        <v>93</v>
      </c>
      <c r="F363" s="17">
        <v>1</v>
      </c>
      <c r="G363" s="17" t="str">
        <f t="shared" si="4"/>
        <v>M0112-A-7-1</v>
      </c>
      <c r="H363" s="17">
        <v>12.21</v>
      </c>
      <c r="I363" s="17">
        <v>13.71</v>
      </c>
    </row>
    <row r="364" spans="1:9">
      <c r="A364" s="17">
        <v>501</v>
      </c>
      <c r="B364" s="17" t="s">
        <v>104</v>
      </c>
      <c r="C364" s="17" t="s">
        <v>92</v>
      </c>
      <c r="D364" s="17">
        <v>7</v>
      </c>
      <c r="E364" s="17" t="s">
        <v>93</v>
      </c>
      <c r="F364" s="17">
        <v>2</v>
      </c>
      <c r="G364" s="17" t="str">
        <f t="shared" si="4"/>
        <v>M0112-A-7-2</v>
      </c>
      <c r="H364" s="17">
        <v>13.71</v>
      </c>
      <c r="I364" s="17">
        <v>14.58</v>
      </c>
    </row>
    <row r="365" spans="1:9">
      <c r="A365" s="17">
        <v>501</v>
      </c>
      <c r="B365" s="17" t="s">
        <v>104</v>
      </c>
      <c r="C365" s="17" t="s">
        <v>92</v>
      </c>
      <c r="D365" s="17">
        <v>8</v>
      </c>
      <c r="E365" s="17" t="s">
        <v>93</v>
      </c>
      <c r="F365" s="17">
        <v>1</v>
      </c>
      <c r="G365" s="17" t="str">
        <f t="shared" si="4"/>
        <v>M0112-A-8-1</v>
      </c>
      <c r="H365" s="17">
        <v>14.58</v>
      </c>
      <c r="I365" s="17">
        <v>16.07</v>
      </c>
    </row>
    <row r="366" spans="1:9">
      <c r="A366" s="17">
        <v>501</v>
      </c>
      <c r="B366" s="17" t="s">
        <v>104</v>
      </c>
      <c r="C366" s="17" t="s">
        <v>92</v>
      </c>
      <c r="D366" s="17">
        <v>8</v>
      </c>
      <c r="E366" s="17" t="s">
        <v>93</v>
      </c>
      <c r="F366" s="17">
        <v>2</v>
      </c>
      <c r="G366" s="17" t="str">
        <f t="shared" si="4"/>
        <v>M0112-A-8-2</v>
      </c>
      <c r="H366" s="17">
        <v>16.07</v>
      </c>
      <c r="I366" s="17">
        <v>17.23</v>
      </c>
    </row>
    <row r="367" spans="1:9">
      <c r="A367" s="17">
        <v>501</v>
      </c>
      <c r="B367" s="17" t="s">
        <v>104</v>
      </c>
      <c r="C367" s="17" t="s">
        <v>92</v>
      </c>
      <c r="D367" s="17">
        <v>9</v>
      </c>
      <c r="E367" s="17" t="s">
        <v>93</v>
      </c>
      <c r="F367" s="17">
        <v>1</v>
      </c>
      <c r="G367" s="17" t="str">
        <f t="shared" si="4"/>
        <v>M0112-A-9-1</v>
      </c>
      <c r="H367" s="17">
        <v>17.23</v>
      </c>
      <c r="I367" s="17">
        <v>18.73</v>
      </c>
    </row>
    <row r="368" spans="1:9">
      <c r="A368" s="17">
        <v>501</v>
      </c>
      <c r="B368" s="17" t="s">
        <v>104</v>
      </c>
      <c r="C368" s="17" t="s">
        <v>92</v>
      </c>
      <c r="D368" s="17">
        <v>9</v>
      </c>
      <c r="E368" s="17" t="s">
        <v>93</v>
      </c>
      <c r="F368" s="17">
        <v>2</v>
      </c>
      <c r="G368" s="17" t="str">
        <f t="shared" si="4"/>
        <v>M0112-A-9-2</v>
      </c>
      <c r="H368" s="17">
        <v>18.73</v>
      </c>
      <c r="I368" s="17">
        <v>19.87</v>
      </c>
    </row>
    <row r="369" spans="1:9">
      <c r="A369" s="17">
        <v>501</v>
      </c>
      <c r="B369" s="17" t="s">
        <v>104</v>
      </c>
      <c r="C369" s="17" t="s">
        <v>92</v>
      </c>
      <c r="D369" s="17">
        <v>10</v>
      </c>
      <c r="E369" s="17" t="s">
        <v>93</v>
      </c>
      <c r="F369" s="17">
        <v>1</v>
      </c>
      <c r="G369" s="17" t="str">
        <f t="shared" si="4"/>
        <v>M0112-A-10-1</v>
      </c>
      <c r="H369" s="17">
        <v>19.87</v>
      </c>
      <c r="I369" s="17">
        <v>21.28</v>
      </c>
    </row>
    <row r="370" spans="1:9">
      <c r="A370" s="17">
        <v>501</v>
      </c>
      <c r="B370" s="17" t="s">
        <v>104</v>
      </c>
      <c r="C370" s="17" t="s">
        <v>92</v>
      </c>
      <c r="D370" s="17">
        <v>11</v>
      </c>
      <c r="E370" s="17" t="s">
        <v>93</v>
      </c>
      <c r="F370" s="17">
        <v>1</v>
      </c>
      <c r="G370" s="17" t="str">
        <f t="shared" si="4"/>
        <v>M0112-A-11-1</v>
      </c>
      <c r="H370" s="17">
        <v>21.28</v>
      </c>
      <c r="I370" s="17">
        <v>22.79</v>
      </c>
    </row>
    <row r="371" spans="1:9">
      <c r="A371" s="17">
        <v>501</v>
      </c>
      <c r="B371" s="17" t="s">
        <v>104</v>
      </c>
      <c r="C371" s="17" t="s">
        <v>92</v>
      </c>
      <c r="D371" s="17">
        <v>11</v>
      </c>
      <c r="E371" s="17" t="s">
        <v>93</v>
      </c>
      <c r="F371" s="17">
        <v>2</v>
      </c>
      <c r="G371" s="17" t="str">
        <f t="shared" si="4"/>
        <v>M0112-A-11-2</v>
      </c>
      <c r="H371" s="17">
        <v>22.79</v>
      </c>
      <c r="I371" s="17">
        <v>23.91</v>
      </c>
    </row>
    <row r="372" spans="1:9">
      <c r="A372" s="17">
        <v>501</v>
      </c>
      <c r="B372" s="17" t="s">
        <v>104</v>
      </c>
      <c r="C372" s="17" t="s">
        <v>92</v>
      </c>
      <c r="D372" s="17">
        <v>12</v>
      </c>
      <c r="E372" s="17" t="s">
        <v>93</v>
      </c>
      <c r="F372" s="17">
        <v>1</v>
      </c>
      <c r="G372" s="17" t="str">
        <f t="shared" si="4"/>
        <v>M0112-A-12-1</v>
      </c>
      <c r="H372" s="17">
        <v>23.91</v>
      </c>
      <c r="I372" s="17">
        <v>23.92</v>
      </c>
    </row>
    <row r="373" spans="1:9">
      <c r="A373" s="17">
        <v>501</v>
      </c>
      <c r="B373" s="17" t="s">
        <v>104</v>
      </c>
      <c r="C373" s="17" t="s">
        <v>92</v>
      </c>
      <c r="D373" s="17">
        <v>13</v>
      </c>
      <c r="E373" s="17" t="s">
        <v>93</v>
      </c>
      <c r="F373" s="17">
        <v>1</v>
      </c>
      <c r="G373" s="17" t="str">
        <f t="shared" si="4"/>
        <v>M0112-A-13-1</v>
      </c>
      <c r="H373" s="17">
        <v>23.92</v>
      </c>
      <c r="I373" s="17">
        <v>24.33</v>
      </c>
    </row>
    <row r="374" spans="1:9">
      <c r="A374" s="17">
        <v>501</v>
      </c>
      <c r="B374" s="17" t="s">
        <v>104</v>
      </c>
      <c r="C374" s="17" t="s">
        <v>92</v>
      </c>
      <c r="D374" s="17">
        <v>14</v>
      </c>
      <c r="E374" s="17" t="s">
        <v>93</v>
      </c>
      <c r="F374" s="17">
        <v>1</v>
      </c>
      <c r="G374" s="17" t="str">
        <f t="shared" si="4"/>
        <v>M0112-A-14-1</v>
      </c>
      <c r="H374" s="17">
        <v>24.33</v>
      </c>
      <c r="I374" s="17">
        <v>25.79</v>
      </c>
    </row>
    <row r="375" spans="1:9">
      <c r="A375" s="17">
        <v>501</v>
      </c>
      <c r="B375" s="17" t="s">
        <v>104</v>
      </c>
      <c r="C375" s="17" t="s">
        <v>92</v>
      </c>
      <c r="D375" s="17">
        <v>15</v>
      </c>
      <c r="E375" s="17" t="s">
        <v>93</v>
      </c>
      <c r="F375" s="17">
        <v>1</v>
      </c>
      <c r="G375" s="17" t="str">
        <f t="shared" si="4"/>
        <v>M0112-A-15-1</v>
      </c>
      <c r="H375" s="17">
        <v>25.79</v>
      </c>
      <c r="I375" s="17">
        <v>27.3</v>
      </c>
    </row>
    <row r="376" spans="1:9">
      <c r="A376" s="17">
        <v>501</v>
      </c>
      <c r="B376" s="17" t="s">
        <v>104</v>
      </c>
      <c r="C376" s="17" t="s">
        <v>92</v>
      </c>
      <c r="D376" s="17">
        <v>15</v>
      </c>
      <c r="E376" s="17" t="s">
        <v>93</v>
      </c>
      <c r="F376" s="17">
        <v>2</v>
      </c>
      <c r="G376" s="17" t="str">
        <f t="shared" ref="G376:G439" si="5">CONCATENATE(B376, "-",C376, "-", D376, "-", F376)</f>
        <v>M0112-A-15-2</v>
      </c>
      <c r="H376" s="17">
        <v>27.3</v>
      </c>
      <c r="I376" s="17">
        <v>27.67</v>
      </c>
    </row>
    <row r="377" spans="1:9">
      <c r="A377" s="17">
        <v>501</v>
      </c>
      <c r="B377" s="17" t="s">
        <v>104</v>
      </c>
      <c r="C377" s="17" t="s">
        <v>92</v>
      </c>
      <c r="D377" s="17">
        <v>16</v>
      </c>
      <c r="E377" s="17" t="s">
        <v>93</v>
      </c>
      <c r="F377" s="17">
        <v>1</v>
      </c>
      <c r="G377" s="17" t="str">
        <f t="shared" si="5"/>
        <v>M0112-A-16-1</v>
      </c>
      <c r="H377" s="17">
        <v>27.67</v>
      </c>
      <c r="I377" s="17">
        <v>29.16</v>
      </c>
    </row>
    <row r="378" spans="1:9">
      <c r="A378" s="17">
        <v>501</v>
      </c>
      <c r="B378" s="17" t="s">
        <v>104</v>
      </c>
      <c r="C378" s="17" t="s">
        <v>92</v>
      </c>
      <c r="D378" s="17">
        <v>16</v>
      </c>
      <c r="E378" s="17" t="s">
        <v>93</v>
      </c>
      <c r="F378" s="17">
        <v>2</v>
      </c>
      <c r="G378" s="17" t="str">
        <f t="shared" si="5"/>
        <v>M0112-A-16-2</v>
      </c>
      <c r="H378" s="17">
        <v>29.16</v>
      </c>
      <c r="I378" s="17">
        <v>29.48</v>
      </c>
    </row>
    <row r="379" spans="1:9">
      <c r="A379" s="17">
        <v>501</v>
      </c>
      <c r="B379" s="17" t="s">
        <v>104</v>
      </c>
      <c r="C379" s="17" t="s">
        <v>92</v>
      </c>
      <c r="D379" s="17">
        <v>17</v>
      </c>
      <c r="E379" s="17" t="s">
        <v>93</v>
      </c>
      <c r="F379" s="17">
        <v>1</v>
      </c>
      <c r="G379" s="17" t="str">
        <f t="shared" si="5"/>
        <v>M0112-A-17-1</v>
      </c>
      <c r="H379" s="17">
        <v>29.48</v>
      </c>
      <c r="I379" s="17">
        <v>30.1</v>
      </c>
    </row>
    <row r="380" spans="1:9">
      <c r="A380" s="17">
        <v>501</v>
      </c>
      <c r="B380" s="17" t="s">
        <v>104</v>
      </c>
      <c r="C380" s="17" t="s">
        <v>92</v>
      </c>
      <c r="D380" s="17">
        <v>19</v>
      </c>
      <c r="E380" s="17" t="s">
        <v>93</v>
      </c>
      <c r="F380" s="17">
        <v>1</v>
      </c>
      <c r="G380" s="17" t="str">
        <f t="shared" si="5"/>
        <v>M0112-A-19-1</v>
      </c>
      <c r="H380" s="17">
        <v>32.21</v>
      </c>
      <c r="I380" s="17">
        <v>32.799999999999997</v>
      </c>
    </row>
    <row r="381" spans="1:9">
      <c r="A381" s="17">
        <v>501</v>
      </c>
      <c r="B381" s="17" t="s">
        <v>104</v>
      </c>
      <c r="C381" s="17" t="s">
        <v>92</v>
      </c>
      <c r="D381" s="17">
        <v>19</v>
      </c>
      <c r="E381" s="17" t="s">
        <v>93</v>
      </c>
      <c r="F381" s="17">
        <v>2</v>
      </c>
      <c r="G381" s="17" t="str">
        <f t="shared" si="5"/>
        <v>M0112-A-19-2</v>
      </c>
      <c r="H381" s="17">
        <v>32.799999999999997</v>
      </c>
      <c r="I381" s="17">
        <v>33.130000000000003</v>
      </c>
    </row>
    <row r="382" spans="1:9">
      <c r="A382" s="17">
        <v>501</v>
      </c>
      <c r="B382" s="17" t="s">
        <v>104</v>
      </c>
      <c r="C382" s="17" t="s">
        <v>92</v>
      </c>
      <c r="D382" s="17">
        <v>20</v>
      </c>
      <c r="E382" s="17" t="s">
        <v>93</v>
      </c>
      <c r="F382" s="17">
        <v>1</v>
      </c>
      <c r="G382" s="17" t="str">
        <f t="shared" si="5"/>
        <v>M0112-A-20-1</v>
      </c>
      <c r="H382" s="17">
        <v>33.130000000000003</v>
      </c>
      <c r="I382" s="17">
        <v>34.61</v>
      </c>
    </row>
    <row r="383" spans="1:9">
      <c r="A383" s="17">
        <v>501</v>
      </c>
      <c r="B383" s="17" t="s">
        <v>104</v>
      </c>
      <c r="C383" s="17" t="s">
        <v>92</v>
      </c>
      <c r="D383" s="17">
        <v>20</v>
      </c>
      <c r="E383" s="17" t="s">
        <v>93</v>
      </c>
      <c r="F383" s="17">
        <v>2</v>
      </c>
      <c r="G383" s="17" t="str">
        <f t="shared" si="5"/>
        <v>M0112-A-20-2</v>
      </c>
      <c r="H383" s="17">
        <v>34.61</v>
      </c>
      <c r="I383" s="17">
        <v>34.81</v>
      </c>
    </row>
    <row r="384" spans="1:9">
      <c r="A384" s="17">
        <v>501</v>
      </c>
      <c r="B384" s="17" t="s">
        <v>104</v>
      </c>
      <c r="C384" s="17" t="s">
        <v>92</v>
      </c>
      <c r="D384" s="17">
        <v>21</v>
      </c>
      <c r="E384" s="17" t="s">
        <v>93</v>
      </c>
      <c r="F384" s="17">
        <v>1</v>
      </c>
      <c r="G384" s="17" t="str">
        <f t="shared" si="5"/>
        <v>M0112-A-21-1</v>
      </c>
      <c r="H384" s="17">
        <v>34.81</v>
      </c>
      <c r="I384" s="17">
        <v>36.31</v>
      </c>
    </row>
    <row r="385" spans="1:9">
      <c r="A385" s="17">
        <v>501</v>
      </c>
      <c r="B385" s="17" t="s">
        <v>104</v>
      </c>
      <c r="C385" s="17" t="s">
        <v>92</v>
      </c>
      <c r="D385" s="17">
        <v>21</v>
      </c>
      <c r="E385" s="17" t="s">
        <v>93</v>
      </c>
      <c r="F385" s="17">
        <v>2</v>
      </c>
      <c r="G385" s="17" t="str">
        <f t="shared" si="5"/>
        <v>M0112-A-21-2</v>
      </c>
      <c r="H385" s="17">
        <v>36.31</v>
      </c>
      <c r="I385" s="17">
        <v>36.79</v>
      </c>
    </row>
    <row r="386" spans="1:9">
      <c r="A386" s="17">
        <v>501</v>
      </c>
      <c r="B386" s="17" t="s">
        <v>104</v>
      </c>
      <c r="C386" s="17" t="s">
        <v>92</v>
      </c>
      <c r="D386" s="17">
        <v>22</v>
      </c>
      <c r="E386" s="17" t="s">
        <v>93</v>
      </c>
      <c r="F386" s="17">
        <v>1</v>
      </c>
      <c r="G386" s="17" t="str">
        <f t="shared" si="5"/>
        <v>M0112-A-22-1</v>
      </c>
      <c r="H386" s="17">
        <v>36.79</v>
      </c>
      <c r="I386" s="17">
        <v>38.229999999999997</v>
      </c>
    </row>
    <row r="387" spans="1:9">
      <c r="A387" s="17">
        <v>501</v>
      </c>
      <c r="B387" s="17" t="s">
        <v>104</v>
      </c>
      <c r="C387" s="17" t="s">
        <v>92</v>
      </c>
      <c r="D387" s="17">
        <v>22</v>
      </c>
      <c r="E387" s="17" t="s">
        <v>93</v>
      </c>
      <c r="F387" s="17">
        <v>2</v>
      </c>
      <c r="G387" s="17" t="str">
        <f t="shared" si="5"/>
        <v>M0112-A-22-2</v>
      </c>
      <c r="H387" s="17">
        <v>38.229999999999997</v>
      </c>
      <c r="I387" s="17">
        <v>38.590000000000003</v>
      </c>
    </row>
    <row r="388" spans="1:9">
      <c r="A388" s="17">
        <v>501</v>
      </c>
      <c r="B388" s="17" t="s">
        <v>104</v>
      </c>
      <c r="C388" s="17" t="s">
        <v>92</v>
      </c>
      <c r="D388" s="17">
        <v>23</v>
      </c>
      <c r="E388" s="17" t="s">
        <v>93</v>
      </c>
      <c r="F388" s="17">
        <v>1</v>
      </c>
      <c r="G388" s="17" t="str">
        <f t="shared" si="5"/>
        <v>M0112-A-23-1</v>
      </c>
      <c r="H388" s="17">
        <v>38.590000000000003</v>
      </c>
      <c r="I388" s="17">
        <v>40.07</v>
      </c>
    </row>
    <row r="389" spans="1:9">
      <c r="A389" s="17">
        <v>501</v>
      </c>
      <c r="B389" s="17" t="s">
        <v>104</v>
      </c>
      <c r="C389" s="17" t="s">
        <v>92</v>
      </c>
      <c r="D389" s="17">
        <v>23</v>
      </c>
      <c r="E389" s="17" t="s">
        <v>93</v>
      </c>
      <c r="F389" s="17">
        <v>2</v>
      </c>
      <c r="G389" s="17" t="str">
        <f t="shared" si="5"/>
        <v>M0112-A-23-2</v>
      </c>
      <c r="H389" s="17">
        <v>40.07</v>
      </c>
      <c r="I389" s="17">
        <v>41.48</v>
      </c>
    </row>
    <row r="390" spans="1:9">
      <c r="A390" s="17">
        <v>501</v>
      </c>
      <c r="B390" s="17" t="s">
        <v>104</v>
      </c>
      <c r="C390" s="17" t="s">
        <v>92</v>
      </c>
      <c r="D390" s="17">
        <v>24</v>
      </c>
      <c r="E390" s="17" t="s">
        <v>93</v>
      </c>
      <c r="F390" s="17">
        <v>1</v>
      </c>
      <c r="G390" s="17" t="str">
        <f t="shared" si="5"/>
        <v>M0112-A-24-1</v>
      </c>
      <c r="H390" s="17">
        <v>41.38</v>
      </c>
      <c r="I390" s="17">
        <v>42.87</v>
      </c>
    </row>
    <row r="391" spans="1:9">
      <c r="A391" s="17">
        <v>501</v>
      </c>
      <c r="B391" s="17" t="s">
        <v>104</v>
      </c>
      <c r="C391" s="17" t="s">
        <v>92</v>
      </c>
      <c r="D391" s="17">
        <v>24</v>
      </c>
      <c r="E391" s="17" t="s">
        <v>93</v>
      </c>
      <c r="F391" s="17">
        <v>2</v>
      </c>
      <c r="G391" s="17" t="str">
        <f t="shared" si="5"/>
        <v>M0112-A-24-2</v>
      </c>
      <c r="H391" s="17">
        <v>42.87</v>
      </c>
      <c r="I391" s="17">
        <v>44.31</v>
      </c>
    </row>
    <row r="392" spans="1:9">
      <c r="A392" s="17">
        <v>501</v>
      </c>
      <c r="B392" s="17" t="s">
        <v>104</v>
      </c>
      <c r="C392" s="17" t="s">
        <v>92</v>
      </c>
      <c r="D392" s="17">
        <v>25</v>
      </c>
      <c r="E392" s="17" t="s">
        <v>93</v>
      </c>
      <c r="F392" s="17">
        <v>1</v>
      </c>
      <c r="G392" s="17" t="str">
        <f t="shared" si="5"/>
        <v>M0112-A-25-1</v>
      </c>
      <c r="H392" s="17">
        <v>44.14</v>
      </c>
      <c r="I392" s="17">
        <v>45.36</v>
      </c>
    </row>
    <row r="393" spans="1:9">
      <c r="A393" s="17">
        <v>501</v>
      </c>
      <c r="B393" s="17" t="s">
        <v>104</v>
      </c>
      <c r="C393" s="17" t="s">
        <v>92</v>
      </c>
      <c r="D393" s="17">
        <v>27</v>
      </c>
      <c r="E393" s="17" t="s">
        <v>93</v>
      </c>
      <c r="F393" s="17">
        <v>1</v>
      </c>
      <c r="G393" s="17" t="str">
        <f t="shared" si="5"/>
        <v>M0112-A-27-1</v>
      </c>
      <c r="H393" s="17">
        <v>45.36</v>
      </c>
      <c r="I393" s="17">
        <v>46.43</v>
      </c>
    </row>
    <row r="394" spans="1:9">
      <c r="A394" s="17">
        <v>501</v>
      </c>
      <c r="B394" s="17" t="s">
        <v>104</v>
      </c>
      <c r="C394" s="17" t="s">
        <v>92</v>
      </c>
      <c r="D394" s="17">
        <v>28</v>
      </c>
      <c r="E394" s="17" t="s">
        <v>93</v>
      </c>
      <c r="F394" s="17">
        <v>1</v>
      </c>
      <c r="G394" s="17" t="str">
        <f t="shared" si="5"/>
        <v>M0112-A-28-1</v>
      </c>
      <c r="H394" s="17">
        <v>46.43</v>
      </c>
      <c r="I394" s="17">
        <v>47.43</v>
      </c>
    </row>
    <row r="395" spans="1:9">
      <c r="A395" s="17">
        <v>501</v>
      </c>
      <c r="B395" s="17" t="s">
        <v>104</v>
      </c>
      <c r="C395" s="17" t="s">
        <v>92</v>
      </c>
      <c r="D395" s="17">
        <v>29</v>
      </c>
      <c r="E395" s="17" t="s">
        <v>93</v>
      </c>
      <c r="F395" s="17">
        <v>1</v>
      </c>
      <c r="G395" s="17" t="str">
        <f t="shared" si="5"/>
        <v>M0112-A-29-1</v>
      </c>
      <c r="H395" s="17">
        <v>47.43</v>
      </c>
      <c r="I395" s="17">
        <v>47.96</v>
      </c>
    </row>
    <row r="396" spans="1:9">
      <c r="A396" s="17">
        <v>501</v>
      </c>
      <c r="B396" s="17" t="s">
        <v>104</v>
      </c>
      <c r="C396" s="17" t="s">
        <v>92</v>
      </c>
      <c r="D396" s="17">
        <v>30</v>
      </c>
      <c r="E396" s="17" t="s">
        <v>93</v>
      </c>
      <c r="F396" s="17">
        <v>1</v>
      </c>
      <c r="G396" s="17" t="str">
        <f t="shared" si="5"/>
        <v>M0112-A-30-1</v>
      </c>
      <c r="H396" s="17">
        <v>47.96</v>
      </c>
      <c r="I396" s="17">
        <v>48.18</v>
      </c>
    </row>
    <row r="397" spans="1:9">
      <c r="A397" s="17">
        <v>501</v>
      </c>
      <c r="B397" s="17" t="s">
        <v>104</v>
      </c>
      <c r="C397" s="17" t="s">
        <v>92</v>
      </c>
      <c r="D397" s="17">
        <v>31</v>
      </c>
      <c r="E397" s="17" t="s">
        <v>93</v>
      </c>
      <c r="F397" s="17">
        <v>1</v>
      </c>
      <c r="G397" s="17" t="str">
        <f t="shared" si="5"/>
        <v>M0112-A-31-1</v>
      </c>
      <c r="H397" s="17">
        <v>49.96</v>
      </c>
      <c r="I397" s="17">
        <v>51.45</v>
      </c>
    </row>
    <row r="398" spans="1:9">
      <c r="A398" s="17">
        <v>501</v>
      </c>
      <c r="B398" s="17" t="s">
        <v>104</v>
      </c>
      <c r="C398" s="17" t="s">
        <v>92</v>
      </c>
      <c r="D398" s="17">
        <v>32</v>
      </c>
      <c r="E398" s="17" t="s">
        <v>93</v>
      </c>
      <c r="F398" s="17">
        <v>1</v>
      </c>
      <c r="G398" s="17" t="str">
        <f t="shared" si="5"/>
        <v>M0112-A-32-1</v>
      </c>
      <c r="H398" s="17">
        <v>51.45</v>
      </c>
      <c r="I398" s="17">
        <v>52.95</v>
      </c>
    </row>
    <row r="399" spans="1:9">
      <c r="A399" s="17">
        <v>501</v>
      </c>
      <c r="B399" s="17" t="s">
        <v>104</v>
      </c>
      <c r="C399" s="17" t="s">
        <v>92</v>
      </c>
      <c r="D399" s="17">
        <v>32</v>
      </c>
      <c r="E399" s="17" t="s">
        <v>93</v>
      </c>
      <c r="F399" s="17">
        <v>2</v>
      </c>
      <c r="G399" s="17" t="str">
        <f t="shared" si="5"/>
        <v>M0112-A-32-2</v>
      </c>
      <c r="H399" s="17">
        <v>52.95</v>
      </c>
      <c r="I399" s="17">
        <v>53.61</v>
      </c>
    </row>
    <row r="400" spans="1:9">
      <c r="A400" s="17">
        <v>501</v>
      </c>
      <c r="B400" s="17" t="s">
        <v>104</v>
      </c>
      <c r="C400" s="17" t="s">
        <v>92</v>
      </c>
      <c r="D400" s="17">
        <v>33</v>
      </c>
      <c r="E400" s="17" t="s">
        <v>93</v>
      </c>
      <c r="F400" s="17">
        <v>1</v>
      </c>
      <c r="G400" s="17" t="str">
        <f t="shared" si="5"/>
        <v>M0112-A-33-1</v>
      </c>
      <c r="H400" s="17">
        <v>53.61</v>
      </c>
      <c r="I400" s="17">
        <v>54.51</v>
      </c>
    </row>
    <row r="401" spans="1:9">
      <c r="A401" s="17">
        <v>501</v>
      </c>
      <c r="B401" s="17" t="s">
        <v>104</v>
      </c>
      <c r="C401" s="17" t="s">
        <v>92</v>
      </c>
      <c r="D401" s="17">
        <v>33</v>
      </c>
      <c r="E401" s="17" t="s">
        <v>93</v>
      </c>
      <c r="F401" s="17">
        <v>2</v>
      </c>
      <c r="G401" s="17" t="str">
        <f t="shared" si="5"/>
        <v>M0112-A-33-2</v>
      </c>
      <c r="H401" s="17">
        <v>54.51</v>
      </c>
      <c r="I401" s="17">
        <v>55.15</v>
      </c>
    </row>
    <row r="402" spans="1:9">
      <c r="A402" s="17">
        <v>501</v>
      </c>
      <c r="B402" s="17" t="s">
        <v>104</v>
      </c>
      <c r="C402" s="17" t="s">
        <v>92</v>
      </c>
      <c r="D402" s="17">
        <v>34</v>
      </c>
      <c r="E402" s="17" t="s">
        <v>93</v>
      </c>
      <c r="F402" s="17">
        <v>1</v>
      </c>
      <c r="G402" s="17" t="str">
        <f t="shared" si="5"/>
        <v>M0112-A-34-1</v>
      </c>
      <c r="H402" s="17">
        <v>55.15</v>
      </c>
      <c r="I402" s="17">
        <v>56.15</v>
      </c>
    </row>
    <row r="403" spans="1:9">
      <c r="A403" s="17">
        <v>501</v>
      </c>
      <c r="B403" s="17" t="s">
        <v>104</v>
      </c>
      <c r="C403" s="17" t="s">
        <v>92</v>
      </c>
      <c r="D403" s="17">
        <v>34</v>
      </c>
      <c r="E403" s="17" t="s">
        <v>93</v>
      </c>
      <c r="F403" s="17">
        <v>2</v>
      </c>
      <c r="G403" s="17" t="str">
        <f t="shared" si="5"/>
        <v>M0112-A-34-2</v>
      </c>
      <c r="H403" s="17">
        <v>56.15</v>
      </c>
      <c r="I403" s="17">
        <v>56.31</v>
      </c>
    </row>
    <row r="404" spans="1:9">
      <c r="A404" s="17">
        <v>501</v>
      </c>
      <c r="B404" s="17" t="s">
        <v>104</v>
      </c>
      <c r="C404" s="17" t="s">
        <v>92</v>
      </c>
      <c r="D404" s="17">
        <v>35</v>
      </c>
      <c r="E404" s="17" t="s">
        <v>95</v>
      </c>
      <c r="F404" s="17">
        <v>1</v>
      </c>
      <c r="G404" s="17" t="str">
        <f t="shared" si="5"/>
        <v>M0112-A-35-1</v>
      </c>
      <c r="H404" s="17">
        <v>56.3</v>
      </c>
      <c r="I404" s="17">
        <v>56.68</v>
      </c>
    </row>
    <row r="405" spans="1:9">
      <c r="A405" s="17">
        <v>501</v>
      </c>
      <c r="B405" s="17" t="s">
        <v>104</v>
      </c>
      <c r="C405" s="17" t="s">
        <v>92</v>
      </c>
      <c r="D405" s="17">
        <v>36</v>
      </c>
      <c r="E405" s="17" t="s">
        <v>95</v>
      </c>
      <c r="F405" s="17">
        <v>1</v>
      </c>
      <c r="G405" s="17" t="str">
        <f t="shared" si="5"/>
        <v>M0112-A-36-1</v>
      </c>
      <c r="H405" s="17">
        <v>56.3</v>
      </c>
      <c r="I405" s="17">
        <v>57.8</v>
      </c>
    </row>
    <row r="406" spans="1:9">
      <c r="A406" s="17">
        <v>501</v>
      </c>
      <c r="B406" s="17" t="s">
        <v>104</v>
      </c>
      <c r="C406" s="17" t="s">
        <v>92</v>
      </c>
      <c r="D406" s="17">
        <v>36</v>
      </c>
      <c r="E406" s="17" t="s">
        <v>95</v>
      </c>
      <c r="F406" s="17">
        <v>2</v>
      </c>
      <c r="G406" s="17" t="str">
        <f t="shared" si="5"/>
        <v>M0112-A-36-2</v>
      </c>
      <c r="H406" s="17">
        <v>57.8</v>
      </c>
      <c r="I406" s="17">
        <v>59.3</v>
      </c>
    </row>
    <row r="407" spans="1:9">
      <c r="A407" s="17">
        <v>501</v>
      </c>
      <c r="B407" s="17" t="s">
        <v>104</v>
      </c>
      <c r="C407" s="17" t="s">
        <v>92</v>
      </c>
      <c r="D407" s="17">
        <v>37</v>
      </c>
      <c r="E407" s="17" t="s">
        <v>95</v>
      </c>
      <c r="F407" s="17">
        <v>1</v>
      </c>
      <c r="G407" s="17" t="str">
        <f t="shared" si="5"/>
        <v>M0112-A-37-1</v>
      </c>
      <c r="H407" s="17">
        <v>59.21</v>
      </c>
      <c r="I407" s="17">
        <v>59.52</v>
      </c>
    </row>
    <row r="408" spans="1:9">
      <c r="A408" s="17">
        <v>501</v>
      </c>
      <c r="B408" s="17" t="s">
        <v>104</v>
      </c>
      <c r="C408" s="17" t="s">
        <v>92</v>
      </c>
      <c r="D408" s="17">
        <v>38</v>
      </c>
      <c r="E408" s="17" t="s">
        <v>95</v>
      </c>
      <c r="F408" s="17">
        <v>1</v>
      </c>
      <c r="G408" s="17" t="str">
        <f t="shared" si="5"/>
        <v>M0112-A-38-1</v>
      </c>
      <c r="H408" s="17">
        <v>59.61</v>
      </c>
      <c r="I408" s="17">
        <v>60.11</v>
      </c>
    </row>
    <row r="409" spans="1:9">
      <c r="A409" s="17">
        <v>501</v>
      </c>
      <c r="B409" s="17" t="s">
        <v>104</v>
      </c>
      <c r="C409" s="17" t="s">
        <v>92</v>
      </c>
      <c r="D409" s="17">
        <v>39</v>
      </c>
      <c r="E409" s="17" t="s">
        <v>95</v>
      </c>
      <c r="F409" s="17">
        <v>1</v>
      </c>
      <c r="G409" s="17" t="str">
        <f t="shared" si="5"/>
        <v>M0112-A-39-1</v>
      </c>
      <c r="H409" s="17">
        <v>60.51</v>
      </c>
      <c r="I409" s="17">
        <v>61.27</v>
      </c>
    </row>
    <row r="410" spans="1:9">
      <c r="A410" s="17">
        <v>501</v>
      </c>
      <c r="B410" s="17" t="s">
        <v>104</v>
      </c>
      <c r="C410" s="17" t="s">
        <v>92</v>
      </c>
      <c r="D410" s="17">
        <v>40</v>
      </c>
      <c r="E410" s="17" t="s">
        <v>95</v>
      </c>
      <c r="F410" s="17">
        <v>1</v>
      </c>
      <c r="G410" s="17" t="str">
        <f t="shared" si="5"/>
        <v>M0112-A-40-1</v>
      </c>
      <c r="H410" s="17">
        <v>62.21</v>
      </c>
      <c r="I410" s="17">
        <v>63.21</v>
      </c>
    </row>
    <row r="411" spans="1:9">
      <c r="A411" s="17">
        <v>501</v>
      </c>
      <c r="B411" s="17" t="s">
        <v>104</v>
      </c>
      <c r="C411" s="17" t="s">
        <v>92</v>
      </c>
      <c r="D411" s="17">
        <v>40</v>
      </c>
      <c r="E411" s="17" t="s">
        <v>95</v>
      </c>
      <c r="F411" s="17">
        <v>2</v>
      </c>
      <c r="G411" s="17" t="str">
        <f t="shared" si="5"/>
        <v>M0112-A-40-2</v>
      </c>
      <c r="H411" s="17">
        <v>63.21</v>
      </c>
      <c r="I411" s="17">
        <v>63.56</v>
      </c>
    </row>
    <row r="412" spans="1:9">
      <c r="A412" s="17">
        <v>501</v>
      </c>
      <c r="B412" s="17" t="s">
        <v>104</v>
      </c>
      <c r="C412" s="17" t="s">
        <v>92</v>
      </c>
      <c r="D412" s="17">
        <v>41</v>
      </c>
      <c r="E412" s="17" t="s">
        <v>93</v>
      </c>
      <c r="F412" s="17">
        <v>1</v>
      </c>
      <c r="G412" s="17" t="str">
        <f t="shared" si="5"/>
        <v>M0112-A-41-1</v>
      </c>
      <c r="H412" s="17">
        <v>65.209999999999994</v>
      </c>
      <c r="I412" s="17">
        <v>66.7</v>
      </c>
    </row>
    <row r="413" spans="1:9">
      <c r="A413" s="17">
        <v>501</v>
      </c>
      <c r="B413" s="17" t="s">
        <v>104</v>
      </c>
      <c r="C413" s="17" t="s">
        <v>92</v>
      </c>
      <c r="D413" s="17">
        <v>41</v>
      </c>
      <c r="E413" s="17" t="s">
        <v>93</v>
      </c>
      <c r="F413" s="17">
        <v>2</v>
      </c>
      <c r="G413" s="17" t="str">
        <f t="shared" si="5"/>
        <v>M0112-A-41-2</v>
      </c>
      <c r="H413" s="17">
        <v>66.7</v>
      </c>
      <c r="I413" s="17">
        <v>68.09</v>
      </c>
    </row>
    <row r="414" spans="1:9">
      <c r="A414" s="17">
        <v>501</v>
      </c>
      <c r="B414" s="17" t="s">
        <v>104</v>
      </c>
      <c r="C414" s="17" t="s">
        <v>92</v>
      </c>
      <c r="D414" s="17">
        <v>42</v>
      </c>
      <c r="E414" s="17" t="s">
        <v>93</v>
      </c>
      <c r="F414" s="17">
        <v>1</v>
      </c>
      <c r="G414" s="17" t="str">
        <f t="shared" si="5"/>
        <v>M0112-A-42-1</v>
      </c>
      <c r="H414" s="17">
        <v>67.59</v>
      </c>
      <c r="I414" s="17">
        <v>68.34</v>
      </c>
    </row>
    <row r="415" spans="1:9">
      <c r="A415" s="17">
        <v>501</v>
      </c>
      <c r="B415" s="17" t="s">
        <v>104</v>
      </c>
      <c r="C415" s="17" t="s">
        <v>92</v>
      </c>
      <c r="D415" s="17">
        <v>43</v>
      </c>
      <c r="E415" s="17" t="s">
        <v>93</v>
      </c>
      <c r="F415" s="17">
        <v>1</v>
      </c>
      <c r="G415" s="17" t="str">
        <f t="shared" si="5"/>
        <v>M0112-A-43-1</v>
      </c>
      <c r="H415" s="17">
        <v>68.34</v>
      </c>
      <c r="I415" s="17">
        <v>69.14</v>
      </c>
    </row>
    <row r="416" spans="1:9">
      <c r="A416" s="17">
        <v>501</v>
      </c>
      <c r="B416" s="17" t="s">
        <v>104</v>
      </c>
      <c r="C416" s="17" t="s">
        <v>92</v>
      </c>
      <c r="D416" s="17">
        <v>43</v>
      </c>
      <c r="E416" s="17" t="s">
        <v>93</v>
      </c>
      <c r="F416" s="17">
        <v>2</v>
      </c>
      <c r="G416" s="17" t="str">
        <f t="shared" si="5"/>
        <v>M0112-A-43-2</v>
      </c>
      <c r="H416" s="17">
        <v>69.14</v>
      </c>
      <c r="I416" s="17">
        <v>69.42</v>
      </c>
    </row>
    <row r="417" spans="1:9">
      <c r="A417" s="17">
        <v>501</v>
      </c>
      <c r="B417" s="17" t="s">
        <v>104</v>
      </c>
      <c r="C417" s="17" t="s">
        <v>92</v>
      </c>
      <c r="D417" s="17">
        <v>44</v>
      </c>
      <c r="E417" s="17" t="s">
        <v>93</v>
      </c>
      <c r="F417" s="17">
        <v>1</v>
      </c>
      <c r="G417" s="17" t="str">
        <f t="shared" si="5"/>
        <v>M0112-A-44-1</v>
      </c>
      <c r="H417" s="17">
        <v>69.42</v>
      </c>
      <c r="I417" s="17">
        <v>70.290000000000006</v>
      </c>
    </row>
    <row r="418" spans="1:9">
      <c r="A418" s="17">
        <v>501</v>
      </c>
      <c r="B418" s="17" t="s">
        <v>104</v>
      </c>
      <c r="C418" s="17" t="s">
        <v>92</v>
      </c>
      <c r="D418" s="17">
        <v>45</v>
      </c>
      <c r="E418" s="17" t="s">
        <v>93</v>
      </c>
      <c r="F418" s="17">
        <v>1</v>
      </c>
      <c r="G418" s="17" t="str">
        <f t="shared" si="5"/>
        <v>M0112-A-45-1</v>
      </c>
      <c r="H418" s="17">
        <v>70.08</v>
      </c>
      <c r="I418" s="17">
        <v>71.11</v>
      </c>
    </row>
    <row r="419" spans="1:9">
      <c r="A419" s="17">
        <v>501</v>
      </c>
      <c r="B419" s="17" t="s">
        <v>104</v>
      </c>
      <c r="C419" s="17" t="s">
        <v>92</v>
      </c>
      <c r="D419" s="17">
        <v>46</v>
      </c>
      <c r="E419" s="17" t="s">
        <v>93</v>
      </c>
      <c r="F419" s="17">
        <v>1</v>
      </c>
      <c r="G419" s="17" t="str">
        <f t="shared" si="5"/>
        <v>M0112-A-46-1</v>
      </c>
      <c r="H419" s="17">
        <v>71.11</v>
      </c>
      <c r="I419" s="17">
        <v>71.959999999999994</v>
      </c>
    </row>
    <row r="420" spans="1:9">
      <c r="A420" s="17">
        <v>501</v>
      </c>
      <c r="B420" s="17" t="s">
        <v>104</v>
      </c>
      <c r="C420" s="17" t="s">
        <v>92</v>
      </c>
      <c r="D420" s="17">
        <v>46</v>
      </c>
      <c r="E420" s="17" t="s">
        <v>93</v>
      </c>
      <c r="F420" s="17">
        <v>2</v>
      </c>
      <c r="G420" s="17" t="str">
        <f t="shared" si="5"/>
        <v>M0112-A-46-2</v>
      </c>
      <c r="H420" s="17">
        <v>71.959999999999994</v>
      </c>
      <c r="I420" s="17">
        <v>72.180000000000007</v>
      </c>
    </row>
    <row r="421" spans="1:9">
      <c r="A421" s="17">
        <v>501</v>
      </c>
      <c r="B421" s="17" t="s">
        <v>104</v>
      </c>
      <c r="C421" s="17" t="s">
        <v>92</v>
      </c>
      <c r="D421" s="17">
        <v>47</v>
      </c>
      <c r="E421" s="17" t="s">
        <v>93</v>
      </c>
      <c r="F421" s="17">
        <v>1</v>
      </c>
      <c r="G421" s="17" t="str">
        <f t="shared" si="5"/>
        <v>M0112-A-47-1</v>
      </c>
      <c r="H421" s="17">
        <v>72.180000000000007</v>
      </c>
      <c r="I421" s="17">
        <v>72.86</v>
      </c>
    </row>
    <row r="422" spans="1:9">
      <c r="A422" s="17">
        <v>501</v>
      </c>
      <c r="B422" s="17" t="s">
        <v>104</v>
      </c>
      <c r="C422" s="17" t="s">
        <v>92</v>
      </c>
      <c r="D422" s="17">
        <v>48</v>
      </c>
      <c r="E422" s="17" t="s">
        <v>93</v>
      </c>
      <c r="F422" s="17">
        <v>1</v>
      </c>
      <c r="G422" s="17" t="str">
        <f t="shared" si="5"/>
        <v>M0112-A-48-1</v>
      </c>
      <c r="H422" s="17">
        <v>72.86</v>
      </c>
      <c r="I422" s="17">
        <v>73.010000000000005</v>
      </c>
    </row>
    <row r="423" spans="1:9">
      <c r="A423" s="17">
        <v>501</v>
      </c>
      <c r="B423" s="17" t="s">
        <v>104</v>
      </c>
      <c r="C423" s="17" t="s">
        <v>92</v>
      </c>
      <c r="D423" s="17">
        <v>48</v>
      </c>
      <c r="E423" s="17" t="s">
        <v>93</v>
      </c>
      <c r="F423" s="17">
        <v>2</v>
      </c>
      <c r="G423" s="17" t="str">
        <f t="shared" si="5"/>
        <v>M0112-A-48-2</v>
      </c>
      <c r="H423" s="17">
        <v>73.010000000000005</v>
      </c>
      <c r="I423" s="17">
        <v>74.19</v>
      </c>
    </row>
    <row r="424" spans="1:9">
      <c r="A424" s="17">
        <v>501</v>
      </c>
      <c r="B424" s="17" t="s">
        <v>104</v>
      </c>
      <c r="C424" s="17" t="s">
        <v>92</v>
      </c>
      <c r="D424" s="17">
        <v>49</v>
      </c>
      <c r="E424" s="17" t="s">
        <v>93</v>
      </c>
      <c r="F424" s="17">
        <v>1</v>
      </c>
      <c r="G424" s="17" t="str">
        <f t="shared" si="5"/>
        <v>M0112-A-49-1</v>
      </c>
      <c r="H424" s="17">
        <v>74.19</v>
      </c>
      <c r="I424" s="17">
        <v>75.39</v>
      </c>
    </row>
    <row r="425" spans="1:9">
      <c r="A425" s="17">
        <v>501</v>
      </c>
      <c r="B425" s="17" t="s">
        <v>104</v>
      </c>
      <c r="C425" s="17" t="s">
        <v>92</v>
      </c>
      <c r="D425" s="17">
        <v>50</v>
      </c>
      <c r="E425" s="17" t="s">
        <v>95</v>
      </c>
      <c r="F425" s="17">
        <v>1</v>
      </c>
      <c r="G425" s="17" t="str">
        <f t="shared" si="5"/>
        <v>M0112-A-50-1</v>
      </c>
      <c r="H425" s="17">
        <v>75.39</v>
      </c>
      <c r="I425" s="17">
        <v>76.69</v>
      </c>
    </row>
    <row r="426" spans="1:9">
      <c r="A426" s="17">
        <v>501</v>
      </c>
      <c r="B426" s="17" t="s">
        <v>104</v>
      </c>
      <c r="C426" s="17" t="s">
        <v>92</v>
      </c>
      <c r="D426" s="17">
        <v>50</v>
      </c>
      <c r="E426" s="17" t="s">
        <v>95</v>
      </c>
      <c r="F426" s="17">
        <v>2</v>
      </c>
      <c r="G426" s="17" t="str">
        <f t="shared" si="5"/>
        <v>M0112-A-50-2</v>
      </c>
      <c r="H426" s="17">
        <v>76.69</v>
      </c>
      <c r="I426" s="17">
        <v>77.42</v>
      </c>
    </row>
    <row r="427" spans="1:9">
      <c r="A427" s="17">
        <v>501</v>
      </c>
      <c r="B427" s="17" t="s">
        <v>104</v>
      </c>
      <c r="C427" s="17" t="s">
        <v>92</v>
      </c>
      <c r="D427" s="17">
        <v>51</v>
      </c>
      <c r="E427" s="17" t="s">
        <v>95</v>
      </c>
      <c r="F427" s="17">
        <v>1</v>
      </c>
      <c r="G427" s="17" t="str">
        <f t="shared" si="5"/>
        <v>M0112-A-51-1</v>
      </c>
      <c r="H427" s="17">
        <v>77.239999999999995</v>
      </c>
      <c r="I427" s="17">
        <v>78.739999999999995</v>
      </c>
    </row>
    <row r="428" spans="1:9">
      <c r="A428" s="17">
        <v>501</v>
      </c>
      <c r="B428" s="17" t="s">
        <v>104</v>
      </c>
      <c r="C428" s="17" t="s">
        <v>92</v>
      </c>
      <c r="D428" s="17">
        <v>51</v>
      </c>
      <c r="E428" s="17" t="s">
        <v>95</v>
      </c>
      <c r="F428" s="17">
        <v>2</v>
      </c>
      <c r="G428" s="17" t="str">
        <f t="shared" si="5"/>
        <v>M0112-A-51-2</v>
      </c>
      <c r="H428" s="17">
        <v>78.739999999999995</v>
      </c>
      <c r="I428" s="17">
        <v>79.989999999999995</v>
      </c>
    </row>
    <row r="429" spans="1:9">
      <c r="A429" s="17">
        <v>501</v>
      </c>
      <c r="B429" s="17" t="s">
        <v>104</v>
      </c>
      <c r="C429" s="17" t="s">
        <v>92</v>
      </c>
      <c r="D429" s="17">
        <v>51</v>
      </c>
      <c r="E429" s="17" t="s">
        <v>95</v>
      </c>
      <c r="F429" s="17">
        <v>3</v>
      </c>
      <c r="G429" s="17" t="str">
        <f t="shared" si="5"/>
        <v>M0112-A-51-3</v>
      </c>
      <c r="H429" s="17">
        <v>79.989999999999995</v>
      </c>
      <c r="I429" s="17">
        <v>80.34</v>
      </c>
    </row>
    <row r="430" spans="1:9">
      <c r="A430" s="17">
        <v>501</v>
      </c>
      <c r="B430" s="17" t="s">
        <v>104</v>
      </c>
      <c r="C430" s="17" t="s">
        <v>92</v>
      </c>
      <c r="D430" s="17">
        <v>52</v>
      </c>
      <c r="E430" s="17" t="s">
        <v>95</v>
      </c>
      <c r="F430" s="17">
        <v>1</v>
      </c>
      <c r="G430" s="17" t="str">
        <f t="shared" si="5"/>
        <v>M0112-A-52-1</v>
      </c>
      <c r="H430" s="17">
        <v>80.209999999999994</v>
      </c>
      <c r="I430" s="17">
        <v>81.709999999999994</v>
      </c>
    </row>
    <row r="431" spans="1:9">
      <c r="A431" s="17">
        <v>501</v>
      </c>
      <c r="B431" s="17" t="s">
        <v>104</v>
      </c>
      <c r="C431" s="17" t="s">
        <v>92</v>
      </c>
      <c r="D431" s="17">
        <v>52</v>
      </c>
      <c r="E431" s="17" t="s">
        <v>95</v>
      </c>
      <c r="F431" s="17">
        <v>2</v>
      </c>
      <c r="G431" s="17" t="str">
        <f t="shared" si="5"/>
        <v>M0112-A-52-2</v>
      </c>
      <c r="H431" s="17">
        <v>81.709999999999994</v>
      </c>
      <c r="I431" s="17">
        <v>82.56</v>
      </c>
    </row>
    <row r="432" spans="1:9">
      <c r="A432" s="17">
        <v>501</v>
      </c>
      <c r="B432" s="17" t="s">
        <v>104</v>
      </c>
      <c r="C432" s="17" t="s">
        <v>92</v>
      </c>
      <c r="D432" s="17">
        <v>53</v>
      </c>
      <c r="E432" s="17" t="s">
        <v>95</v>
      </c>
      <c r="F432" s="17">
        <v>1</v>
      </c>
      <c r="G432" s="17" t="str">
        <f t="shared" si="5"/>
        <v>M0112-A-53-1</v>
      </c>
      <c r="H432" s="17">
        <v>83.21</v>
      </c>
      <c r="I432" s="17">
        <v>83.93</v>
      </c>
    </row>
    <row r="433" spans="1:9">
      <c r="A433" s="17">
        <v>501</v>
      </c>
      <c r="B433" s="17" t="s">
        <v>104</v>
      </c>
      <c r="C433" s="17" t="s">
        <v>92</v>
      </c>
      <c r="D433" s="17">
        <v>54</v>
      </c>
      <c r="E433" s="17" t="s">
        <v>95</v>
      </c>
      <c r="F433" s="17">
        <v>1</v>
      </c>
      <c r="G433" s="17" t="str">
        <f t="shared" si="5"/>
        <v>M0112-A-54-1</v>
      </c>
      <c r="H433" s="17">
        <v>86.21</v>
      </c>
      <c r="I433" s="17">
        <v>86.98</v>
      </c>
    </row>
    <row r="434" spans="1:9">
      <c r="A434" s="17">
        <v>501</v>
      </c>
      <c r="B434" s="17" t="s">
        <v>104</v>
      </c>
      <c r="C434" s="17" t="s">
        <v>92</v>
      </c>
      <c r="D434" s="17">
        <v>55</v>
      </c>
      <c r="E434" s="17" t="s">
        <v>95</v>
      </c>
      <c r="F434" s="17">
        <v>1</v>
      </c>
      <c r="G434" s="17" t="str">
        <f t="shared" si="5"/>
        <v>M0112-A-55-1</v>
      </c>
      <c r="H434" s="17">
        <v>87.71</v>
      </c>
      <c r="I434" s="17">
        <v>88.89</v>
      </c>
    </row>
    <row r="435" spans="1:9">
      <c r="A435" s="17">
        <v>501</v>
      </c>
      <c r="B435" s="17" t="s">
        <v>104</v>
      </c>
      <c r="C435" s="17" t="s">
        <v>92</v>
      </c>
      <c r="D435" s="17">
        <v>55</v>
      </c>
      <c r="E435" s="17" t="s">
        <v>95</v>
      </c>
      <c r="F435" s="17">
        <v>2</v>
      </c>
      <c r="G435" s="17" t="str">
        <f t="shared" si="5"/>
        <v>M0112-A-55-2</v>
      </c>
      <c r="H435" s="17">
        <v>88.89</v>
      </c>
      <c r="I435" s="17">
        <v>89.24</v>
      </c>
    </row>
    <row r="436" spans="1:9">
      <c r="A436" s="17">
        <v>501</v>
      </c>
      <c r="B436" s="17" t="s">
        <v>104</v>
      </c>
      <c r="C436" s="17" t="s">
        <v>92</v>
      </c>
      <c r="D436" s="17">
        <v>56</v>
      </c>
      <c r="E436" s="17" t="s">
        <v>95</v>
      </c>
      <c r="F436" s="17">
        <v>1</v>
      </c>
      <c r="G436" s="17" t="str">
        <f t="shared" si="5"/>
        <v>M0112-A-56-1</v>
      </c>
      <c r="H436" s="17">
        <v>89.21</v>
      </c>
      <c r="I436" s="17">
        <v>90.69</v>
      </c>
    </row>
    <row r="437" spans="1:9">
      <c r="A437" s="17">
        <v>501</v>
      </c>
      <c r="B437" s="17" t="s">
        <v>104</v>
      </c>
      <c r="C437" s="17" t="s">
        <v>92</v>
      </c>
      <c r="D437" s="17">
        <v>57</v>
      </c>
      <c r="E437" s="17" t="s">
        <v>95</v>
      </c>
      <c r="F437" s="17">
        <v>1</v>
      </c>
      <c r="G437" s="17" t="str">
        <f t="shared" si="5"/>
        <v>M0112-A-57-1</v>
      </c>
      <c r="H437" s="17">
        <v>90.71</v>
      </c>
      <c r="I437" s="17">
        <v>91.94</v>
      </c>
    </row>
    <row r="438" spans="1:9">
      <c r="A438" s="17">
        <v>501</v>
      </c>
      <c r="B438" s="17" t="s">
        <v>104</v>
      </c>
      <c r="C438" s="17" t="s">
        <v>92</v>
      </c>
      <c r="D438" s="17">
        <v>57</v>
      </c>
      <c r="E438" s="17" t="s">
        <v>95</v>
      </c>
      <c r="F438" s="17">
        <v>2</v>
      </c>
      <c r="G438" s="17" t="str">
        <f t="shared" si="5"/>
        <v>M0112-A-57-2</v>
      </c>
      <c r="H438" s="17">
        <v>91.94</v>
      </c>
      <c r="I438" s="17">
        <v>92.37</v>
      </c>
    </row>
    <row r="439" spans="1:9">
      <c r="A439" s="17">
        <v>501</v>
      </c>
      <c r="B439" s="17" t="s">
        <v>104</v>
      </c>
      <c r="C439" s="17" t="s">
        <v>92</v>
      </c>
      <c r="D439" s="17">
        <v>58</v>
      </c>
      <c r="E439" s="17" t="s">
        <v>95</v>
      </c>
      <c r="F439" s="17">
        <v>1</v>
      </c>
      <c r="G439" s="17" t="str">
        <f t="shared" si="5"/>
        <v>M0112-A-58-1</v>
      </c>
      <c r="H439" s="17">
        <v>92.21</v>
      </c>
      <c r="I439" s="17">
        <v>93.27</v>
      </c>
    </row>
    <row r="440" spans="1:9">
      <c r="A440" s="17">
        <v>501</v>
      </c>
      <c r="B440" s="17" t="s">
        <v>104</v>
      </c>
      <c r="C440" s="17" t="s">
        <v>92</v>
      </c>
      <c r="D440" s="17">
        <v>58</v>
      </c>
      <c r="E440" s="17" t="s">
        <v>95</v>
      </c>
      <c r="F440" s="17">
        <v>2</v>
      </c>
      <c r="G440" s="17" t="str">
        <f t="shared" ref="G440:G503" si="6">CONCATENATE(B440, "-",C440, "-", D440, "-", F440)</f>
        <v>M0112-A-58-2</v>
      </c>
      <c r="H440" s="17">
        <v>93.27</v>
      </c>
      <c r="I440" s="17">
        <v>93.86</v>
      </c>
    </row>
    <row r="441" spans="1:9">
      <c r="A441" s="17">
        <v>501</v>
      </c>
      <c r="B441" s="17" t="s">
        <v>104</v>
      </c>
      <c r="C441" s="17" t="s">
        <v>92</v>
      </c>
      <c r="D441" s="17">
        <v>59</v>
      </c>
      <c r="E441" s="17" t="s">
        <v>95</v>
      </c>
      <c r="F441" s="17">
        <v>1</v>
      </c>
      <c r="G441" s="17" t="str">
        <f t="shared" si="6"/>
        <v>M0112-A-59-1</v>
      </c>
      <c r="H441" s="17">
        <v>93.71</v>
      </c>
      <c r="I441" s="17">
        <v>95.13</v>
      </c>
    </row>
    <row r="442" spans="1:9">
      <c r="A442" s="17">
        <v>501</v>
      </c>
      <c r="B442" s="17" t="s">
        <v>104</v>
      </c>
      <c r="C442" s="17" t="s">
        <v>92</v>
      </c>
      <c r="D442" s="17">
        <v>60</v>
      </c>
      <c r="E442" s="17" t="s">
        <v>95</v>
      </c>
      <c r="F442" s="17">
        <v>1</v>
      </c>
      <c r="G442" s="17" t="str">
        <f t="shared" si="6"/>
        <v>M0112-A-60-1</v>
      </c>
      <c r="H442" s="17">
        <v>95.21</v>
      </c>
      <c r="I442" s="17">
        <v>95.88</v>
      </c>
    </row>
    <row r="443" spans="1:9">
      <c r="A443" s="17">
        <v>501</v>
      </c>
      <c r="B443" s="17" t="s">
        <v>104</v>
      </c>
      <c r="C443" s="17" t="s">
        <v>92</v>
      </c>
      <c r="D443" s="17">
        <v>62</v>
      </c>
      <c r="E443" s="17" t="s">
        <v>93</v>
      </c>
      <c r="F443" s="17">
        <v>1</v>
      </c>
      <c r="G443" s="17" t="str">
        <f t="shared" si="6"/>
        <v>M0112-A-62-1</v>
      </c>
      <c r="H443" s="17">
        <v>97.41</v>
      </c>
      <c r="I443" s="17">
        <v>98.61</v>
      </c>
    </row>
    <row r="444" spans="1:9">
      <c r="A444" s="17">
        <v>501</v>
      </c>
      <c r="B444" s="17" t="s">
        <v>104</v>
      </c>
      <c r="C444" s="17" t="s">
        <v>92</v>
      </c>
      <c r="D444" s="17">
        <v>62</v>
      </c>
      <c r="E444" s="17" t="s">
        <v>93</v>
      </c>
      <c r="F444" s="17">
        <v>2</v>
      </c>
      <c r="G444" s="17" t="str">
        <f t="shared" si="6"/>
        <v>M0112-A-62-2</v>
      </c>
      <c r="H444" s="17">
        <v>98.61</v>
      </c>
      <c r="I444" s="17">
        <v>99.26</v>
      </c>
    </row>
    <row r="445" spans="1:9">
      <c r="A445" s="17">
        <v>501</v>
      </c>
      <c r="B445" s="17" t="s">
        <v>104</v>
      </c>
      <c r="C445" s="17" t="s">
        <v>92</v>
      </c>
      <c r="D445" s="17">
        <v>63</v>
      </c>
      <c r="E445" s="17" t="s">
        <v>95</v>
      </c>
      <c r="F445" s="17">
        <v>1</v>
      </c>
      <c r="G445" s="17" t="str">
        <f t="shared" si="6"/>
        <v>M0112-A-63-1</v>
      </c>
      <c r="H445" s="17">
        <v>98.86</v>
      </c>
      <c r="I445" s="17">
        <v>98.98</v>
      </c>
    </row>
    <row r="446" spans="1:9">
      <c r="A446" s="17">
        <v>501</v>
      </c>
      <c r="B446" s="17" t="s">
        <v>104</v>
      </c>
      <c r="C446" s="17" t="s">
        <v>92</v>
      </c>
      <c r="D446" s="17">
        <v>64</v>
      </c>
      <c r="E446" s="17" t="s">
        <v>95</v>
      </c>
      <c r="F446" s="17">
        <v>1</v>
      </c>
      <c r="G446" s="17" t="str">
        <f t="shared" si="6"/>
        <v>M0112-A-64-1</v>
      </c>
      <c r="H446" s="17">
        <v>99.46</v>
      </c>
      <c r="I446" s="17">
        <v>99.73</v>
      </c>
    </row>
    <row r="447" spans="1:9">
      <c r="A447" s="17">
        <v>501</v>
      </c>
      <c r="B447" s="17" t="s">
        <v>104</v>
      </c>
      <c r="C447" s="17" t="s">
        <v>92</v>
      </c>
      <c r="D447" s="17">
        <v>66</v>
      </c>
      <c r="E447" s="17" t="s">
        <v>93</v>
      </c>
      <c r="F447" s="17">
        <v>1</v>
      </c>
      <c r="G447" s="17" t="str">
        <f t="shared" si="6"/>
        <v>M0112-A-66-1</v>
      </c>
      <c r="H447" s="17">
        <v>102.21</v>
      </c>
      <c r="I447" s="17">
        <v>102.33</v>
      </c>
    </row>
    <row r="448" spans="1:9">
      <c r="A448" s="17">
        <v>501</v>
      </c>
      <c r="B448" s="17" t="s">
        <v>104</v>
      </c>
      <c r="C448" s="17" t="s">
        <v>92</v>
      </c>
      <c r="D448" s="17">
        <v>67</v>
      </c>
      <c r="E448" s="17" t="s">
        <v>93</v>
      </c>
      <c r="F448" s="17">
        <v>1</v>
      </c>
      <c r="G448" s="17" t="str">
        <f t="shared" si="6"/>
        <v>M0112-A-67-1</v>
      </c>
      <c r="H448" s="17">
        <v>102.33</v>
      </c>
      <c r="I448" s="17">
        <v>103.24</v>
      </c>
    </row>
    <row r="449" spans="1:9">
      <c r="A449" s="17">
        <v>501</v>
      </c>
      <c r="B449" s="17" t="s">
        <v>104</v>
      </c>
      <c r="C449" s="17" t="s">
        <v>92</v>
      </c>
      <c r="D449" s="17">
        <v>68</v>
      </c>
      <c r="E449" s="17" t="s">
        <v>93</v>
      </c>
      <c r="F449" s="17">
        <v>1</v>
      </c>
      <c r="G449" s="17" t="str">
        <f t="shared" si="6"/>
        <v>M0112-A-68-1</v>
      </c>
      <c r="H449" s="17">
        <v>103.24</v>
      </c>
      <c r="I449" s="17">
        <v>103.38</v>
      </c>
    </row>
    <row r="450" spans="1:9">
      <c r="A450" s="17">
        <v>501</v>
      </c>
      <c r="B450" s="17" t="s">
        <v>104</v>
      </c>
      <c r="C450" s="17" t="s">
        <v>92</v>
      </c>
      <c r="D450" s="17">
        <v>69</v>
      </c>
      <c r="E450" s="17" t="s">
        <v>95</v>
      </c>
      <c r="F450" s="17">
        <v>1</v>
      </c>
      <c r="G450" s="17" t="str">
        <f t="shared" si="6"/>
        <v>M0112-A-69-1</v>
      </c>
      <c r="H450" s="17">
        <v>103.38</v>
      </c>
      <c r="I450" s="17">
        <v>103.65</v>
      </c>
    </row>
    <row r="451" spans="1:9">
      <c r="A451" s="17">
        <v>501</v>
      </c>
      <c r="B451" s="17" t="s">
        <v>104</v>
      </c>
      <c r="C451" s="17" t="s">
        <v>92</v>
      </c>
      <c r="D451" s="17">
        <v>70</v>
      </c>
      <c r="E451" s="17" t="s">
        <v>95</v>
      </c>
      <c r="F451" s="17">
        <v>1</v>
      </c>
      <c r="G451" s="17" t="str">
        <f t="shared" si="6"/>
        <v>M0112-A-70-1</v>
      </c>
      <c r="H451" s="17">
        <v>104.28</v>
      </c>
      <c r="I451" s="17">
        <v>104.91</v>
      </c>
    </row>
    <row r="452" spans="1:9">
      <c r="A452" s="17">
        <v>501</v>
      </c>
      <c r="B452" s="17" t="s">
        <v>104</v>
      </c>
      <c r="C452" s="17" t="s">
        <v>92</v>
      </c>
      <c r="D452" s="17">
        <v>71</v>
      </c>
      <c r="E452" s="17" t="s">
        <v>95</v>
      </c>
      <c r="F452" s="17">
        <v>1</v>
      </c>
      <c r="G452" s="17" t="str">
        <f t="shared" si="6"/>
        <v>M0112-A-71-1</v>
      </c>
      <c r="H452" s="17">
        <v>107.21</v>
      </c>
      <c r="I452" s="17">
        <v>107.47</v>
      </c>
    </row>
    <row r="453" spans="1:9">
      <c r="A453" s="17">
        <v>501</v>
      </c>
      <c r="B453" s="17" t="s">
        <v>104</v>
      </c>
      <c r="C453" s="17" t="s">
        <v>92</v>
      </c>
      <c r="D453" s="17">
        <v>72</v>
      </c>
      <c r="E453" s="17" t="s">
        <v>93</v>
      </c>
      <c r="F453" s="17">
        <v>1</v>
      </c>
      <c r="G453" s="17" t="str">
        <f t="shared" si="6"/>
        <v>M0112-A-72-1</v>
      </c>
      <c r="H453" s="17">
        <v>110.21</v>
      </c>
      <c r="I453" s="17">
        <v>110.54</v>
      </c>
    </row>
    <row r="454" spans="1:9">
      <c r="A454" s="17">
        <v>501</v>
      </c>
      <c r="B454" s="17" t="s">
        <v>104</v>
      </c>
      <c r="C454" s="17" t="s">
        <v>92</v>
      </c>
      <c r="D454" s="17">
        <v>75</v>
      </c>
      <c r="E454" s="17" t="s">
        <v>93</v>
      </c>
      <c r="F454" s="17">
        <v>1</v>
      </c>
      <c r="G454" s="17" t="str">
        <f t="shared" si="6"/>
        <v>M0112-A-75-1</v>
      </c>
      <c r="H454" s="17">
        <v>113.21</v>
      </c>
      <c r="I454" s="17">
        <v>113.35</v>
      </c>
    </row>
    <row r="455" spans="1:9">
      <c r="A455" s="17">
        <v>501</v>
      </c>
      <c r="B455" s="17" t="s">
        <v>104</v>
      </c>
      <c r="C455" s="17" t="s">
        <v>92</v>
      </c>
      <c r="D455" s="17">
        <v>77</v>
      </c>
      <c r="E455" s="17" t="s">
        <v>93</v>
      </c>
      <c r="F455" s="17">
        <v>1</v>
      </c>
      <c r="G455" s="17" t="str">
        <f t="shared" si="6"/>
        <v>M0112-A-77-1</v>
      </c>
      <c r="H455" s="17">
        <v>115.21</v>
      </c>
      <c r="I455" s="17">
        <v>115.23</v>
      </c>
    </row>
    <row r="456" spans="1:9">
      <c r="A456" s="17">
        <v>501</v>
      </c>
      <c r="B456" s="17" t="s">
        <v>104</v>
      </c>
      <c r="C456" s="17" t="s">
        <v>92</v>
      </c>
      <c r="D456" s="17">
        <v>78</v>
      </c>
      <c r="E456" s="17" t="s">
        <v>93</v>
      </c>
      <c r="F456" s="17">
        <v>1</v>
      </c>
      <c r="G456" s="17" t="str">
        <f t="shared" si="6"/>
        <v>M0112-A-78-1</v>
      </c>
      <c r="H456" s="17">
        <v>115.21</v>
      </c>
      <c r="I456" s="17">
        <v>116.7</v>
      </c>
    </row>
    <row r="457" spans="1:9">
      <c r="A457" s="17">
        <v>501</v>
      </c>
      <c r="B457" s="17" t="s">
        <v>104</v>
      </c>
      <c r="C457" s="17" t="s">
        <v>92</v>
      </c>
      <c r="D457" s="17">
        <v>78</v>
      </c>
      <c r="E457" s="17" t="s">
        <v>93</v>
      </c>
      <c r="F457" s="17">
        <v>2</v>
      </c>
      <c r="G457" s="17" t="str">
        <f t="shared" si="6"/>
        <v>M0112-A-78-2</v>
      </c>
      <c r="H457" s="17">
        <v>116.7</v>
      </c>
      <c r="I457" s="17">
        <v>117.2</v>
      </c>
    </row>
    <row r="458" spans="1:9">
      <c r="A458" s="17">
        <v>501</v>
      </c>
      <c r="B458" s="17" t="s">
        <v>104</v>
      </c>
      <c r="C458" s="17" t="s">
        <v>92</v>
      </c>
      <c r="D458" s="17">
        <v>80</v>
      </c>
      <c r="E458" s="17" t="s">
        <v>93</v>
      </c>
      <c r="F458" s="17">
        <v>1</v>
      </c>
      <c r="G458" s="17" t="str">
        <f t="shared" si="6"/>
        <v>M0112-A-80-1</v>
      </c>
      <c r="H458" s="17">
        <v>117.2</v>
      </c>
      <c r="I458" s="17">
        <v>117.22</v>
      </c>
    </row>
    <row r="459" spans="1:9">
      <c r="A459" s="17">
        <v>501</v>
      </c>
      <c r="B459" s="17" t="s">
        <v>104</v>
      </c>
      <c r="C459" s="17" t="s">
        <v>92</v>
      </c>
      <c r="D459" s="17">
        <v>81</v>
      </c>
      <c r="E459" s="17" t="s">
        <v>95</v>
      </c>
      <c r="F459" s="17">
        <v>1</v>
      </c>
      <c r="G459" s="17" t="str">
        <f t="shared" si="6"/>
        <v>M0112-A-81-1</v>
      </c>
      <c r="H459" s="17">
        <v>117.2</v>
      </c>
      <c r="I459" s="17">
        <v>117.36</v>
      </c>
    </row>
    <row r="460" spans="1:9">
      <c r="A460" s="17">
        <v>501</v>
      </c>
      <c r="B460" s="17" t="s">
        <v>104</v>
      </c>
      <c r="C460" s="17" t="s">
        <v>92</v>
      </c>
      <c r="D460" s="17">
        <v>82</v>
      </c>
      <c r="E460" s="17" t="s">
        <v>93</v>
      </c>
      <c r="F460" s="17">
        <v>1</v>
      </c>
      <c r="G460" s="17" t="str">
        <f t="shared" si="6"/>
        <v>M0112-A-82-1</v>
      </c>
      <c r="H460" s="17">
        <v>119.21</v>
      </c>
      <c r="I460" s="17">
        <v>120.24</v>
      </c>
    </row>
    <row r="461" spans="1:9">
      <c r="A461" s="17">
        <v>501</v>
      </c>
      <c r="B461" s="17" t="s">
        <v>104</v>
      </c>
      <c r="C461" s="17" t="s">
        <v>92</v>
      </c>
      <c r="D461" s="17">
        <v>83</v>
      </c>
      <c r="E461" s="17" t="s">
        <v>93</v>
      </c>
      <c r="F461" s="17">
        <v>1</v>
      </c>
      <c r="G461" s="17" t="str">
        <f t="shared" si="6"/>
        <v>M0112-A-83-1</v>
      </c>
      <c r="H461" s="17">
        <v>120.24</v>
      </c>
      <c r="I461" s="17">
        <v>120.36</v>
      </c>
    </row>
    <row r="462" spans="1:9">
      <c r="A462" s="17">
        <v>501</v>
      </c>
      <c r="B462" s="17" t="s">
        <v>104</v>
      </c>
      <c r="C462" s="17" t="s">
        <v>92</v>
      </c>
      <c r="D462" s="17">
        <v>84</v>
      </c>
      <c r="E462" s="17" t="s">
        <v>93</v>
      </c>
      <c r="F462" s="17">
        <v>1</v>
      </c>
      <c r="G462" s="17" t="str">
        <f t="shared" si="6"/>
        <v>M0112-A-84-1</v>
      </c>
      <c r="H462" s="17">
        <v>120.36</v>
      </c>
      <c r="I462" s="17">
        <v>121.57</v>
      </c>
    </row>
    <row r="463" spans="1:9">
      <c r="A463" s="17">
        <v>501</v>
      </c>
      <c r="B463" s="17" t="s">
        <v>104</v>
      </c>
      <c r="C463" s="17" t="s">
        <v>92</v>
      </c>
      <c r="D463" s="17">
        <v>85</v>
      </c>
      <c r="E463" s="17" t="s">
        <v>93</v>
      </c>
      <c r="F463" s="17">
        <v>1</v>
      </c>
      <c r="G463" s="17" t="str">
        <f t="shared" si="6"/>
        <v>M0112-A-85-1</v>
      </c>
      <c r="H463" s="17">
        <v>121.57</v>
      </c>
      <c r="I463" s="17">
        <v>122.12</v>
      </c>
    </row>
    <row r="464" spans="1:9">
      <c r="A464" s="17">
        <v>501</v>
      </c>
      <c r="B464" s="17" t="s">
        <v>104</v>
      </c>
      <c r="C464" s="17" t="s">
        <v>92</v>
      </c>
      <c r="D464" s="17">
        <v>86</v>
      </c>
      <c r="E464" s="17" t="s">
        <v>93</v>
      </c>
      <c r="F464" s="17">
        <v>1</v>
      </c>
      <c r="G464" s="17" t="str">
        <f t="shared" si="6"/>
        <v>M0112-A-86-1</v>
      </c>
      <c r="H464" s="17">
        <v>122.12</v>
      </c>
      <c r="I464" s="17">
        <v>123.62</v>
      </c>
    </row>
    <row r="465" spans="1:9">
      <c r="A465" s="17">
        <v>501</v>
      </c>
      <c r="B465" s="17" t="s">
        <v>104</v>
      </c>
      <c r="C465" s="17" t="s">
        <v>92</v>
      </c>
      <c r="D465" s="17">
        <v>86</v>
      </c>
      <c r="E465" s="17" t="s">
        <v>93</v>
      </c>
      <c r="F465" s="17">
        <v>2</v>
      </c>
      <c r="G465" s="17" t="str">
        <f t="shared" si="6"/>
        <v>M0112-A-86-2</v>
      </c>
      <c r="H465" s="17">
        <v>123.62</v>
      </c>
      <c r="I465" s="17">
        <v>124.15</v>
      </c>
    </row>
    <row r="466" spans="1:9">
      <c r="A466" s="17">
        <v>501</v>
      </c>
      <c r="B466" s="17" t="s">
        <v>104</v>
      </c>
      <c r="C466" s="17" t="s">
        <v>92</v>
      </c>
      <c r="D466" s="17">
        <v>87</v>
      </c>
      <c r="E466" s="17" t="s">
        <v>93</v>
      </c>
      <c r="F466" s="17">
        <v>1</v>
      </c>
      <c r="G466" s="17" t="str">
        <f t="shared" si="6"/>
        <v>M0112-A-87-1</v>
      </c>
      <c r="H466" s="17">
        <v>124.15</v>
      </c>
      <c r="I466" s="17">
        <v>124.34</v>
      </c>
    </row>
    <row r="467" spans="1:9">
      <c r="A467" s="17">
        <v>501</v>
      </c>
      <c r="B467" s="17" t="s">
        <v>104</v>
      </c>
      <c r="C467" s="17" t="s">
        <v>92</v>
      </c>
      <c r="D467" s="17">
        <v>88</v>
      </c>
      <c r="E467" s="17" t="s">
        <v>93</v>
      </c>
      <c r="F467" s="17">
        <v>1</v>
      </c>
      <c r="G467" s="17" t="str">
        <f t="shared" si="6"/>
        <v>M0112-A-88-1</v>
      </c>
      <c r="H467" s="17">
        <v>124.34</v>
      </c>
      <c r="I467" s="17">
        <v>124.47</v>
      </c>
    </row>
    <row r="468" spans="1:9">
      <c r="A468" s="17">
        <v>501</v>
      </c>
      <c r="B468" s="17" t="s">
        <v>104</v>
      </c>
      <c r="C468" s="17" t="s">
        <v>92</v>
      </c>
      <c r="D468" s="17">
        <v>89</v>
      </c>
      <c r="E468" s="17" t="s">
        <v>93</v>
      </c>
      <c r="F468" s="17">
        <v>1</v>
      </c>
      <c r="G468" s="17" t="str">
        <f t="shared" si="6"/>
        <v>M0112-A-89-1</v>
      </c>
      <c r="H468" s="17">
        <v>124.47</v>
      </c>
      <c r="I468" s="17">
        <v>125.13</v>
      </c>
    </row>
    <row r="469" spans="1:9">
      <c r="A469" s="17">
        <v>501</v>
      </c>
      <c r="B469" s="17" t="s">
        <v>104</v>
      </c>
      <c r="C469" s="17" t="s">
        <v>92</v>
      </c>
      <c r="D469" s="17">
        <v>89</v>
      </c>
      <c r="E469" s="17" t="s">
        <v>93</v>
      </c>
      <c r="F469" s="17">
        <v>2</v>
      </c>
      <c r="G469" s="17" t="str">
        <f t="shared" si="6"/>
        <v>M0112-A-89-2</v>
      </c>
      <c r="H469" s="17">
        <v>125.13</v>
      </c>
      <c r="I469" s="17">
        <v>125.89</v>
      </c>
    </row>
    <row r="470" spans="1:9">
      <c r="A470" s="17">
        <v>501</v>
      </c>
      <c r="B470" s="17" t="s">
        <v>104</v>
      </c>
      <c r="C470" s="17" t="s">
        <v>92</v>
      </c>
      <c r="D470" s="17">
        <v>90</v>
      </c>
      <c r="E470" s="17" t="s">
        <v>93</v>
      </c>
      <c r="F470" s="17">
        <v>1</v>
      </c>
      <c r="G470" s="17" t="str">
        <f t="shared" si="6"/>
        <v>M0112-A-90-1</v>
      </c>
      <c r="H470" s="17">
        <v>125.89</v>
      </c>
      <c r="I470" s="17">
        <v>126.41</v>
      </c>
    </row>
    <row r="471" spans="1:9">
      <c r="A471" s="17">
        <v>501</v>
      </c>
      <c r="B471" s="17" t="s">
        <v>104</v>
      </c>
      <c r="C471" s="17" t="s">
        <v>92</v>
      </c>
      <c r="D471" s="17">
        <v>91</v>
      </c>
      <c r="E471" s="17" t="s">
        <v>93</v>
      </c>
      <c r="F471" s="17">
        <v>1</v>
      </c>
      <c r="G471" s="17" t="str">
        <f t="shared" si="6"/>
        <v>M0112-A-91-1</v>
      </c>
      <c r="H471" s="17">
        <v>126.41</v>
      </c>
      <c r="I471" s="17">
        <v>126.88</v>
      </c>
    </row>
    <row r="472" spans="1:9">
      <c r="A472" s="17">
        <v>501</v>
      </c>
      <c r="B472" s="17" t="s">
        <v>104</v>
      </c>
      <c r="C472" s="17" t="s">
        <v>92</v>
      </c>
      <c r="D472" s="17">
        <v>91</v>
      </c>
      <c r="E472" s="17" t="s">
        <v>93</v>
      </c>
      <c r="F472" s="17">
        <v>2</v>
      </c>
      <c r="G472" s="17" t="str">
        <f t="shared" si="6"/>
        <v>M0112-A-91-2</v>
      </c>
      <c r="H472" s="17">
        <v>126.88</v>
      </c>
      <c r="I472" s="17">
        <v>127.89</v>
      </c>
    </row>
    <row r="473" spans="1:9">
      <c r="A473" s="17">
        <v>501</v>
      </c>
      <c r="B473" s="17" t="s">
        <v>104</v>
      </c>
      <c r="C473" s="17" t="s">
        <v>92</v>
      </c>
      <c r="D473" s="17">
        <v>91</v>
      </c>
      <c r="E473" s="17" t="s">
        <v>93</v>
      </c>
      <c r="F473" s="17">
        <v>3</v>
      </c>
      <c r="G473" s="17" t="str">
        <f t="shared" si="6"/>
        <v>M0112-A-91-3</v>
      </c>
      <c r="H473" s="17">
        <v>127.89</v>
      </c>
      <c r="I473" s="17">
        <v>128.43</v>
      </c>
    </row>
    <row r="474" spans="1:9">
      <c r="A474" s="17">
        <v>501</v>
      </c>
      <c r="B474" s="17" t="s">
        <v>104</v>
      </c>
      <c r="C474" s="17" t="s">
        <v>92</v>
      </c>
      <c r="D474" s="17">
        <v>92</v>
      </c>
      <c r="E474" s="17" t="s">
        <v>93</v>
      </c>
      <c r="F474" s="17">
        <v>1</v>
      </c>
      <c r="G474" s="17" t="str">
        <f t="shared" si="6"/>
        <v>M0112-A-92-1</v>
      </c>
      <c r="H474" s="17">
        <v>128.43</v>
      </c>
      <c r="I474" s="17">
        <v>129.93</v>
      </c>
    </row>
    <row r="475" spans="1:9">
      <c r="A475" s="17">
        <v>501</v>
      </c>
      <c r="B475" s="17" t="s">
        <v>104</v>
      </c>
      <c r="C475" s="17" t="s">
        <v>92</v>
      </c>
      <c r="D475" s="17">
        <v>92</v>
      </c>
      <c r="E475" s="17" t="s">
        <v>93</v>
      </c>
      <c r="F475" s="17">
        <v>2</v>
      </c>
      <c r="G475" s="17" t="str">
        <f t="shared" si="6"/>
        <v>M0112-A-92-2</v>
      </c>
      <c r="H475" s="17">
        <v>129.93</v>
      </c>
      <c r="I475" s="17">
        <v>130.72999999999999</v>
      </c>
    </row>
    <row r="476" spans="1:9">
      <c r="A476" s="17">
        <v>501</v>
      </c>
      <c r="B476" s="17" t="s">
        <v>104</v>
      </c>
      <c r="C476" s="17" t="s">
        <v>92</v>
      </c>
      <c r="D476" s="17">
        <v>93</v>
      </c>
      <c r="E476" s="17" t="s">
        <v>93</v>
      </c>
      <c r="F476" s="17">
        <v>1</v>
      </c>
      <c r="G476" s="17" t="str">
        <f t="shared" si="6"/>
        <v>M0112-A-93-1</v>
      </c>
      <c r="H476" s="17">
        <v>130.72999999999999</v>
      </c>
      <c r="I476" s="17">
        <v>132.22999999999999</v>
      </c>
    </row>
    <row r="477" spans="1:9">
      <c r="A477" s="17">
        <v>501</v>
      </c>
      <c r="B477" s="17" t="s">
        <v>104</v>
      </c>
      <c r="C477" s="17" t="s">
        <v>92</v>
      </c>
      <c r="D477" s="17">
        <v>93</v>
      </c>
      <c r="E477" s="17" t="s">
        <v>93</v>
      </c>
      <c r="F477" s="17">
        <v>2</v>
      </c>
      <c r="G477" s="17" t="str">
        <f t="shared" si="6"/>
        <v>M0112-A-93-2</v>
      </c>
      <c r="H477" s="17">
        <v>132.22999999999999</v>
      </c>
      <c r="I477" s="17">
        <v>133.59</v>
      </c>
    </row>
    <row r="478" spans="1:9">
      <c r="A478" s="17">
        <v>501</v>
      </c>
      <c r="B478" s="17" t="s">
        <v>104</v>
      </c>
      <c r="C478" s="17" t="s">
        <v>92</v>
      </c>
      <c r="D478" s="17">
        <v>94</v>
      </c>
      <c r="E478" s="17" t="s">
        <v>93</v>
      </c>
      <c r="F478" s="17">
        <v>1</v>
      </c>
      <c r="G478" s="17" t="str">
        <f t="shared" si="6"/>
        <v>M0112-A-94-1</v>
      </c>
      <c r="H478" s="17">
        <v>133.59</v>
      </c>
      <c r="I478" s="17">
        <v>135.09</v>
      </c>
    </row>
    <row r="479" spans="1:9">
      <c r="A479" s="17">
        <v>501</v>
      </c>
      <c r="B479" s="17" t="s">
        <v>104</v>
      </c>
      <c r="C479" s="17" t="s">
        <v>92</v>
      </c>
      <c r="D479" s="17">
        <v>94</v>
      </c>
      <c r="E479" s="17" t="s">
        <v>93</v>
      </c>
      <c r="F479" s="17">
        <v>2</v>
      </c>
      <c r="G479" s="17" t="str">
        <f t="shared" si="6"/>
        <v>M0112-A-94-2</v>
      </c>
      <c r="H479" s="17">
        <v>135.09</v>
      </c>
      <c r="I479" s="17">
        <v>136.34</v>
      </c>
    </row>
    <row r="480" spans="1:9">
      <c r="A480" s="17">
        <v>501</v>
      </c>
      <c r="B480" s="17" t="s">
        <v>104</v>
      </c>
      <c r="C480" s="17" t="s">
        <v>92</v>
      </c>
      <c r="D480" s="17">
        <v>95</v>
      </c>
      <c r="E480" s="17" t="s">
        <v>93</v>
      </c>
      <c r="F480" s="17">
        <v>1</v>
      </c>
      <c r="G480" s="17" t="str">
        <f t="shared" si="6"/>
        <v>M0112-A-95-1</v>
      </c>
      <c r="H480" s="17">
        <v>136.24</v>
      </c>
      <c r="I480" s="17">
        <v>136.79</v>
      </c>
    </row>
    <row r="481" spans="1:9">
      <c r="A481" s="17">
        <v>501</v>
      </c>
      <c r="B481" s="17" t="s">
        <v>104</v>
      </c>
      <c r="C481" s="17" t="s">
        <v>92</v>
      </c>
      <c r="D481" s="17">
        <v>95</v>
      </c>
      <c r="E481" s="17" t="s">
        <v>93</v>
      </c>
      <c r="F481" s="17">
        <v>2</v>
      </c>
      <c r="G481" s="17" t="str">
        <f t="shared" si="6"/>
        <v>M0112-A-95-2</v>
      </c>
      <c r="H481" s="17">
        <v>136.79</v>
      </c>
      <c r="I481" s="17">
        <v>138.22</v>
      </c>
    </row>
    <row r="482" spans="1:9">
      <c r="A482" s="17">
        <v>501</v>
      </c>
      <c r="B482" s="17" t="s">
        <v>104</v>
      </c>
      <c r="C482" s="17" t="s">
        <v>92</v>
      </c>
      <c r="D482" s="17">
        <v>96</v>
      </c>
      <c r="E482" s="17" t="s">
        <v>93</v>
      </c>
      <c r="F482" s="17">
        <v>1</v>
      </c>
      <c r="G482" s="17" t="str">
        <f t="shared" si="6"/>
        <v>M0112-A-96-1</v>
      </c>
      <c r="H482" s="17">
        <v>138.22</v>
      </c>
      <c r="I482" s="17">
        <v>139.04</v>
      </c>
    </row>
    <row r="483" spans="1:9">
      <c r="A483" s="17">
        <v>501</v>
      </c>
      <c r="B483" s="17" t="s">
        <v>104</v>
      </c>
      <c r="C483" s="17" t="s">
        <v>92</v>
      </c>
      <c r="D483" s="17">
        <v>96</v>
      </c>
      <c r="E483" s="17" t="s">
        <v>93</v>
      </c>
      <c r="F483" s="17">
        <v>2</v>
      </c>
      <c r="G483" s="17" t="str">
        <f t="shared" si="6"/>
        <v>M0112-A-96-2</v>
      </c>
      <c r="H483" s="17">
        <v>139.04</v>
      </c>
      <c r="I483" s="17">
        <v>139.16</v>
      </c>
    </row>
    <row r="484" spans="1:9">
      <c r="A484" s="17">
        <v>501</v>
      </c>
      <c r="B484" s="17" t="s">
        <v>104</v>
      </c>
      <c r="C484" s="17" t="s">
        <v>92</v>
      </c>
      <c r="D484" s="17">
        <v>98</v>
      </c>
      <c r="E484" s="17" t="s">
        <v>93</v>
      </c>
      <c r="F484" s="17">
        <v>1</v>
      </c>
      <c r="G484" s="17" t="str">
        <f t="shared" si="6"/>
        <v>M0112-A-98-1</v>
      </c>
      <c r="H484" s="17">
        <v>140.21</v>
      </c>
      <c r="I484" s="17">
        <v>140.33000000000001</v>
      </c>
    </row>
    <row r="485" spans="1:9">
      <c r="A485" s="17">
        <v>501</v>
      </c>
      <c r="B485" s="17" t="s">
        <v>104</v>
      </c>
      <c r="C485" s="17" t="s">
        <v>92</v>
      </c>
      <c r="D485" s="17">
        <v>99</v>
      </c>
      <c r="E485" s="17" t="s">
        <v>95</v>
      </c>
      <c r="F485" s="17">
        <v>1</v>
      </c>
      <c r="G485" s="17" t="str">
        <f t="shared" si="6"/>
        <v>M0112-A-99-1</v>
      </c>
      <c r="H485" s="17">
        <v>141.21</v>
      </c>
      <c r="I485" s="17">
        <v>142.41999999999999</v>
      </c>
    </row>
    <row r="486" spans="1:9">
      <c r="A486" s="17">
        <v>501</v>
      </c>
      <c r="B486" s="17" t="s">
        <v>104</v>
      </c>
      <c r="C486" s="17" t="s">
        <v>92</v>
      </c>
      <c r="D486" s="17">
        <v>99</v>
      </c>
      <c r="E486" s="17" t="s">
        <v>95</v>
      </c>
      <c r="F486" s="17">
        <v>2</v>
      </c>
      <c r="G486" s="17" t="str">
        <f t="shared" si="6"/>
        <v>M0112-A-99-2</v>
      </c>
      <c r="H486" s="17">
        <v>142.41999999999999</v>
      </c>
      <c r="I486" s="17">
        <v>142.88</v>
      </c>
    </row>
    <row r="487" spans="1:9">
      <c r="A487" s="17">
        <v>501</v>
      </c>
      <c r="B487" s="17" t="s">
        <v>104</v>
      </c>
      <c r="C487" s="17" t="s">
        <v>92</v>
      </c>
      <c r="D487" s="17">
        <v>100</v>
      </c>
      <c r="E487" s="17" t="s">
        <v>95</v>
      </c>
      <c r="F487" s="17">
        <v>1</v>
      </c>
      <c r="G487" s="17" t="str">
        <f t="shared" si="6"/>
        <v>M0112-A-100-1</v>
      </c>
      <c r="H487" s="17">
        <v>142.21</v>
      </c>
      <c r="I487" s="17">
        <v>143.18</v>
      </c>
    </row>
    <row r="488" spans="1:9">
      <c r="A488" s="17">
        <v>501</v>
      </c>
      <c r="B488" s="17" t="s">
        <v>104</v>
      </c>
      <c r="C488" s="17" t="s">
        <v>92</v>
      </c>
      <c r="D488" s="17">
        <v>101</v>
      </c>
      <c r="E488" s="17" t="s">
        <v>95</v>
      </c>
      <c r="F488" s="17">
        <v>1</v>
      </c>
      <c r="G488" s="17" t="str">
        <f t="shared" si="6"/>
        <v>M0112-A-101-1</v>
      </c>
      <c r="H488" s="17">
        <v>143.21</v>
      </c>
      <c r="I488" s="17">
        <v>144.4</v>
      </c>
    </row>
    <row r="489" spans="1:9">
      <c r="A489" s="17">
        <v>501</v>
      </c>
      <c r="B489" s="17" t="s">
        <v>104</v>
      </c>
      <c r="C489" s="17" t="s">
        <v>92</v>
      </c>
      <c r="D489" s="17">
        <v>101</v>
      </c>
      <c r="E489" s="17" t="s">
        <v>95</v>
      </c>
      <c r="F489" s="17">
        <v>2</v>
      </c>
      <c r="G489" s="17" t="str">
        <f t="shared" si="6"/>
        <v>M0112-A-101-2</v>
      </c>
      <c r="H489" s="17">
        <v>144.4</v>
      </c>
      <c r="I489" s="17">
        <v>144.97</v>
      </c>
    </row>
    <row r="490" spans="1:9">
      <c r="A490" s="17">
        <v>501</v>
      </c>
      <c r="B490" s="17" t="s">
        <v>104</v>
      </c>
      <c r="C490" s="17" t="s">
        <v>92</v>
      </c>
      <c r="D490" s="17">
        <v>102</v>
      </c>
      <c r="E490" s="17" t="s">
        <v>95</v>
      </c>
      <c r="F490" s="17">
        <v>1</v>
      </c>
      <c r="G490" s="17" t="str">
        <f t="shared" si="6"/>
        <v>M0112-A-102-1</v>
      </c>
      <c r="H490" s="17">
        <v>146.21</v>
      </c>
      <c r="I490" s="17">
        <v>147.26</v>
      </c>
    </row>
    <row r="491" spans="1:9">
      <c r="A491" s="17">
        <v>501</v>
      </c>
      <c r="B491" s="17" t="s">
        <v>104</v>
      </c>
      <c r="C491" s="17" t="s">
        <v>92</v>
      </c>
      <c r="D491" s="17">
        <v>103</v>
      </c>
      <c r="E491" s="17" t="s">
        <v>95</v>
      </c>
      <c r="F491" s="17">
        <v>1</v>
      </c>
      <c r="G491" s="17" t="str">
        <f t="shared" si="6"/>
        <v>M0112-A-103-1</v>
      </c>
      <c r="H491" s="17">
        <v>148.21</v>
      </c>
      <c r="I491" s="17">
        <v>149.09</v>
      </c>
    </row>
    <row r="492" spans="1:9">
      <c r="A492" s="17">
        <v>501</v>
      </c>
      <c r="B492" s="17" t="s">
        <v>104</v>
      </c>
      <c r="C492" s="17" t="s">
        <v>92</v>
      </c>
      <c r="D492" s="17">
        <v>104</v>
      </c>
      <c r="E492" s="17" t="s">
        <v>95</v>
      </c>
      <c r="F492" s="17">
        <v>1</v>
      </c>
      <c r="G492" s="17" t="str">
        <f t="shared" si="6"/>
        <v>M0112-A-104-1</v>
      </c>
      <c r="H492" s="17">
        <v>150.21</v>
      </c>
      <c r="I492" s="17">
        <v>150.62</v>
      </c>
    </row>
    <row r="493" spans="1:9">
      <c r="A493" s="17">
        <v>501</v>
      </c>
      <c r="B493" s="17" t="s">
        <v>104</v>
      </c>
      <c r="C493" s="17" t="s">
        <v>92</v>
      </c>
      <c r="D493" s="17">
        <v>106</v>
      </c>
      <c r="E493" s="17" t="s">
        <v>93</v>
      </c>
      <c r="F493" s="17">
        <v>1</v>
      </c>
      <c r="G493" s="17" t="str">
        <f t="shared" si="6"/>
        <v>M0112-A-106-1</v>
      </c>
      <c r="H493" s="17">
        <v>153.36000000000001</v>
      </c>
      <c r="I493" s="17">
        <v>153.5</v>
      </c>
    </row>
    <row r="494" spans="1:9">
      <c r="A494" s="17">
        <v>501</v>
      </c>
      <c r="B494" s="17" t="s">
        <v>104</v>
      </c>
      <c r="C494" s="17" t="s">
        <v>92</v>
      </c>
      <c r="D494" s="17">
        <v>107</v>
      </c>
      <c r="E494" s="17" t="s">
        <v>93</v>
      </c>
      <c r="F494" s="17">
        <v>1</v>
      </c>
      <c r="G494" s="17" t="str">
        <f t="shared" si="6"/>
        <v>M0112-A-107-1</v>
      </c>
      <c r="H494" s="17">
        <v>153.5</v>
      </c>
      <c r="I494" s="17">
        <v>153.69999999999999</v>
      </c>
    </row>
    <row r="495" spans="1:9">
      <c r="A495" s="17">
        <v>501</v>
      </c>
      <c r="B495" s="17" t="s">
        <v>104</v>
      </c>
      <c r="C495" s="17" t="s">
        <v>92</v>
      </c>
      <c r="D495" s="17">
        <v>108</v>
      </c>
      <c r="E495" s="17" t="s">
        <v>95</v>
      </c>
      <c r="F495" s="17">
        <v>1</v>
      </c>
      <c r="G495" s="17" t="str">
        <f t="shared" si="6"/>
        <v>M0112-A-108-1</v>
      </c>
      <c r="H495" s="17">
        <v>153.69999999999999</v>
      </c>
      <c r="I495" s="17">
        <v>153.80000000000001</v>
      </c>
    </row>
    <row r="496" spans="1:9">
      <c r="A496" s="17">
        <v>501</v>
      </c>
      <c r="B496" s="17" t="s">
        <v>104</v>
      </c>
      <c r="C496" s="17" t="s">
        <v>92</v>
      </c>
      <c r="D496" s="17">
        <v>109</v>
      </c>
      <c r="E496" s="17" t="s">
        <v>93</v>
      </c>
      <c r="F496" s="17">
        <v>1</v>
      </c>
      <c r="G496" s="17" t="str">
        <f t="shared" si="6"/>
        <v>M0112-A-109-1</v>
      </c>
      <c r="H496" s="17">
        <v>155.21</v>
      </c>
      <c r="I496" s="17">
        <v>155.37</v>
      </c>
    </row>
    <row r="497" spans="1:9">
      <c r="A497" s="17">
        <v>501</v>
      </c>
      <c r="B497" s="17" t="s">
        <v>104</v>
      </c>
      <c r="C497" s="17" t="s">
        <v>92</v>
      </c>
      <c r="D497" s="17">
        <v>110</v>
      </c>
      <c r="E497" s="17" t="s">
        <v>93</v>
      </c>
      <c r="F497" s="17">
        <v>1</v>
      </c>
      <c r="G497" s="17" t="str">
        <f t="shared" si="6"/>
        <v>M0112-A-110-1</v>
      </c>
      <c r="H497" s="17">
        <v>155.37</v>
      </c>
      <c r="I497" s="17">
        <v>155.49</v>
      </c>
    </row>
    <row r="498" spans="1:9">
      <c r="A498" s="17">
        <v>501</v>
      </c>
      <c r="B498" s="17" t="s">
        <v>104</v>
      </c>
      <c r="C498" s="17" t="s">
        <v>92</v>
      </c>
      <c r="D498" s="17">
        <v>111</v>
      </c>
      <c r="E498" s="17" t="s">
        <v>93</v>
      </c>
      <c r="F498" s="17">
        <v>1</v>
      </c>
      <c r="G498" s="17" t="str">
        <f t="shared" si="6"/>
        <v>M0112-A-111-1</v>
      </c>
      <c r="H498" s="17">
        <v>155.49</v>
      </c>
      <c r="I498" s="17">
        <v>156.36000000000001</v>
      </c>
    </row>
    <row r="499" spans="1:9">
      <c r="A499" s="17">
        <v>501</v>
      </c>
      <c r="B499" s="17" t="s">
        <v>104</v>
      </c>
      <c r="C499" s="17" t="s">
        <v>92</v>
      </c>
      <c r="D499" s="17">
        <v>111</v>
      </c>
      <c r="E499" s="17" t="s">
        <v>93</v>
      </c>
      <c r="F499" s="17">
        <v>2</v>
      </c>
      <c r="G499" s="17" t="str">
        <f t="shared" si="6"/>
        <v>M0112-A-111-2</v>
      </c>
      <c r="H499" s="17">
        <v>156.36000000000001</v>
      </c>
      <c r="I499" s="17">
        <v>157.54</v>
      </c>
    </row>
    <row r="500" spans="1:9">
      <c r="A500" s="17">
        <v>501</v>
      </c>
      <c r="B500" s="17" t="s">
        <v>104</v>
      </c>
      <c r="C500" s="17" t="s">
        <v>92</v>
      </c>
      <c r="D500" s="17">
        <v>112</v>
      </c>
      <c r="E500" s="17" t="s">
        <v>93</v>
      </c>
      <c r="F500" s="17">
        <v>1</v>
      </c>
      <c r="G500" s="17" t="str">
        <f t="shared" si="6"/>
        <v>M0112-A-112-1</v>
      </c>
      <c r="H500" s="17">
        <v>157.54</v>
      </c>
      <c r="I500" s="17">
        <v>158.79</v>
      </c>
    </row>
    <row r="501" spans="1:9">
      <c r="A501" s="17">
        <v>501</v>
      </c>
      <c r="B501" s="17" t="s">
        <v>104</v>
      </c>
      <c r="C501" s="17" t="s">
        <v>92</v>
      </c>
      <c r="D501" s="17">
        <v>113</v>
      </c>
      <c r="E501" s="17" t="s">
        <v>93</v>
      </c>
      <c r="F501" s="17">
        <v>1</v>
      </c>
      <c r="G501" s="17" t="str">
        <f t="shared" si="6"/>
        <v>M0112-A-113-1</v>
      </c>
      <c r="H501" s="17">
        <v>158.79</v>
      </c>
      <c r="I501" s="17">
        <v>159.79</v>
      </c>
    </row>
    <row r="502" spans="1:9">
      <c r="A502" s="17">
        <v>501</v>
      </c>
      <c r="B502" s="17" t="s">
        <v>104</v>
      </c>
      <c r="C502" s="17" t="s">
        <v>92</v>
      </c>
      <c r="D502" s="17">
        <v>113</v>
      </c>
      <c r="E502" s="17" t="s">
        <v>93</v>
      </c>
      <c r="F502" s="17">
        <v>2</v>
      </c>
      <c r="G502" s="17" t="str">
        <f t="shared" si="6"/>
        <v>M0112-A-113-2</v>
      </c>
      <c r="H502" s="17">
        <v>159.79</v>
      </c>
      <c r="I502" s="17">
        <v>160.6</v>
      </c>
    </row>
    <row r="503" spans="1:9">
      <c r="A503" s="17">
        <v>501</v>
      </c>
      <c r="B503" s="17" t="s">
        <v>104</v>
      </c>
      <c r="C503" s="17" t="s">
        <v>92</v>
      </c>
      <c r="D503" s="17">
        <v>114</v>
      </c>
      <c r="E503" s="17" t="s">
        <v>93</v>
      </c>
      <c r="F503" s="17">
        <v>1</v>
      </c>
      <c r="G503" s="17" t="str">
        <f t="shared" si="6"/>
        <v>M0112-A-114-1</v>
      </c>
      <c r="H503" s="17">
        <v>160.6</v>
      </c>
      <c r="I503" s="17">
        <v>160.78</v>
      </c>
    </row>
    <row r="504" spans="1:9">
      <c r="A504" s="17">
        <v>501</v>
      </c>
      <c r="B504" s="17" t="s">
        <v>104</v>
      </c>
      <c r="C504" s="17" t="s">
        <v>92</v>
      </c>
      <c r="D504" s="17">
        <v>115</v>
      </c>
      <c r="E504" s="17" t="s">
        <v>93</v>
      </c>
      <c r="F504" s="17">
        <v>1</v>
      </c>
      <c r="G504" s="17" t="str">
        <f t="shared" ref="G504:G567" si="7">CONCATENATE(B504, "-",C504, "-", D504, "-", F504)</f>
        <v>M0112-A-115-1</v>
      </c>
      <c r="H504" s="17">
        <v>160.78</v>
      </c>
      <c r="I504" s="17">
        <v>161.97999999999999</v>
      </c>
    </row>
    <row r="505" spans="1:9">
      <c r="A505" s="17">
        <v>501</v>
      </c>
      <c r="B505" s="17" t="s">
        <v>104</v>
      </c>
      <c r="C505" s="17" t="s">
        <v>92</v>
      </c>
      <c r="D505" s="17">
        <v>115</v>
      </c>
      <c r="E505" s="17" t="s">
        <v>93</v>
      </c>
      <c r="F505" s="17">
        <v>2</v>
      </c>
      <c r="G505" s="17" t="str">
        <f t="shared" si="7"/>
        <v>M0112-A-115-2</v>
      </c>
      <c r="H505" s="17">
        <v>161.97999999999999</v>
      </c>
      <c r="I505" s="17">
        <v>162.62</v>
      </c>
    </row>
    <row r="506" spans="1:9">
      <c r="A506" s="17">
        <v>501</v>
      </c>
      <c r="B506" s="17" t="s">
        <v>104</v>
      </c>
      <c r="C506" s="17" t="s">
        <v>92</v>
      </c>
      <c r="D506" s="17">
        <v>116</v>
      </c>
      <c r="E506" s="17" t="s">
        <v>93</v>
      </c>
      <c r="F506" s="17">
        <v>1</v>
      </c>
      <c r="G506" s="17" t="str">
        <f t="shared" si="7"/>
        <v>M0112-A-116-1</v>
      </c>
      <c r="H506" s="17">
        <v>162.62</v>
      </c>
      <c r="I506" s="17">
        <v>164.14</v>
      </c>
    </row>
    <row r="507" spans="1:9">
      <c r="A507" s="17">
        <v>501</v>
      </c>
      <c r="B507" s="17" t="s">
        <v>104</v>
      </c>
      <c r="C507" s="17" t="s">
        <v>92</v>
      </c>
      <c r="D507" s="17">
        <v>116</v>
      </c>
      <c r="E507" s="17" t="s">
        <v>93</v>
      </c>
      <c r="F507" s="17">
        <v>2</v>
      </c>
      <c r="G507" s="17" t="str">
        <f t="shared" si="7"/>
        <v>M0112-A-116-2</v>
      </c>
      <c r="H507" s="17">
        <v>164.14</v>
      </c>
      <c r="I507" s="17">
        <v>164.78</v>
      </c>
    </row>
    <row r="508" spans="1:9">
      <c r="A508" s="17">
        <v>501</v>
      </c>
      <c r="B508" s="17" t="s">
        <v>104</v>
      </c>
      <c r="C508" s="17" t="s">
        <v>92</v>
      </c>
      <c r="D508" s="17">
        <v>117</v>
      </c>
      <c r="E508" s="17" t="s">
        <v>93</v>
      </c>
      <c r="F508" s="17">
        <v>1</v>
      </c>
      <c r="G508" s="17" t="str">
        <f t="shared" si="7"/>
        <v>M0112-A-117-1</v>
      </c>
      <c r="H508" s="17">
        <v>164.78</v>
      </c>
      <c r="I508" s="17">
        <v>166.28</v>
      </c>
    </row>
    <row r="509" spans="1:9">
      <c r="A509" s="17">
        <v>501</v>
      </c>
      <c r="B509" s="17" t="s">
        <v>104</v>
      </c>
      <c r="C509" s="17" t="s">
        <v>92</v>
      </c>
      <c r="D509" s="17">
        <v>117</v>
      </c>
      <c r="E509" s="17" t="s">
        <v>93</v>
      </c>
      <c r="F509" s="17">
        <v>2</v>
      </c>
      <c r="G509" s="17" t="str">
        <f t="shared" si="7"/>
        <v>M0112-A-117-2</v>
      </c>
      <c r="H509" s="17">
        <v>166.28</v>
      </c>
      <c r="I509" s="17">
        <v>167.54</v>
      </c>
    </row>
    <row r="510" spans="1:9">
      <c r="A510" s="17">
        <v>501</v>
      </c>
      <c r="B510" s="17" t="s">
        <v>104</v>
      </c>
      <c r="C510" s="17" t="s">
        <v>92</v>
      </c>
      <c r="D510" s="17">
        <v>118</v>
      </c>
      <c r="E510" s="17" t="s">
        <v>93</v>
      </c>
      <c r="F510" s="17">
        <v>1</v>
      </c>
      <c r="G510" s="17" t="str">
        <f t="shared" si="7"/>
        <v>M0112-A-118-1</v>
      </c>
      <c r="H510" s="17">
        <v>167.54</v>
      </c>
      <c r="I510" s="17">
        <v>169.04</v>
      </c>
    </row>
    <row r="511" spans="1:9">
      <c r="A511" s="17">
        <v>501</v>
      </c>
      <c r="B511" s="17" t="s">
        <v>104</v>
      </c>
      <c r="C511" s="17" t="s">
        <v>92</v>
      </c>
      <c r="D511" s="17">
        <v>118</v>
      </c>
      <c r="E511" s="17" t="s">
        <v>93</v>
      </c>
      <c r="F511" s="17">
        <v>2</v>
      </c>
      <c r="G511" s="17" t="str">
        <f t="shared" si="7"/>
        <v>M0112-A-118-2</v>
      </c>
      <c r="H511" s="17">
        <v>169.04</v>
      </c>
      <c r="I511" s="17">
        <v>170.4</v>
      </c>
    </row>
    <row r="512" spans="1:9">
      <c r="A512" s="17">
        <v>501</v>
      </c>
      <c r="B512" s="17" t="s">
        <v>104</v>
      </c>
      <c r="C512" s="17" t="s">
        <v>92</v>
      </c>
      <c r="D512" s="17">
        <v>119</v>
      </c>
      <c r="E512" s="17" t="s">
        <v>93</v>
      </c>
      <c r="F512" s="17">
        <v>1</v>
      </c>
      <c r="G512" s="17" t="str">
        <f t="shared" si="7"/>
        <v>M0112-A-119-1</v>
      </c>
      <c r="H512" s="17">
        <v>170.4</v>
      </c>
      <c r="I512" s="17">
        <v>171.9</v>
      </c>
    </row>
    <row r="513" spans="1:9">
      <c r="A513" s="17">
        <v>501</v>
      </c>
      <c r="B513" s="17" t="s">
        <v>104</v>
      </c>
      <c r="C513" s="17" t="s">
        <v>92</v>
      </c>
      <c r="D513" s="17">
        <v>119</v>
      </c>
      <c r="E513" s="17" t="s">
        <v>93</v>
      </c>
      <c r="F513" s="17">
        <v>2</v>
      </c>
      <c r="G513" s="17" t="str">
        <f t="shared" si="7"/>
        <v>M0112-A-119-2</v>
      </c>
      <c r="H513" s="17">
        <v>171.9</v>
      </c>
      <c r="I513" s="17">
        <v>173.02</v>
      </c>
    </row>
    <row r="514" spans="1:9">
      <c r="A514" s="17">
        <v>501</v>
      </c>
      <c r="B514" s="17" t="s">
        <v>104</v>
      </c>
      <c r="C514" s="17" t="s">
        <v>92</v>
      </c>
      <c r="D514" s="17">
        <v>120</v>
      </c>
      <c r="E514" s="17" t="s">
        <v>93</v>
      </c>
      <c r="F514" s="17">
        <v>1</v>
      </c>
      <c r="G514" s="17" t="str">
        <f t="shared" si="7"/>
        <v>M0112-A-120-1</v>
      </c>
      <c r="H514" s="17">
        <v>173.02</v>
      </c>
      <c r="I514" s="17">
        <v>174.46</v>
      </c>
    </row>
    <row r="515" spans="1:9">
      <c r="A515" s="17">
        <v>501</v>
      </c>
      <c r="B515" s="17" t="s">
        <v>104</v>
      </c>
      <c r="C515" s="17" t="s">
        <v>92</v>
      </c>
      <c r="D515" s="17">
        <v>120</v>
      </c>
      <c r="E515" s="17" t="s">
        <v>93</v>
      </c>
      <c r="F515" s="17">
        <v>2</v>
      </c>
      <c r="G515" s="17" t="str">
        <f t="shared" si="7"/>
        <v>M0112-A-120-2</v>
      </c>
      <c r="H515" s="17">
        <v>174.46</v>
      </c>
      <c r="I515" s="17">
        <v>175.65</v>
      </c>
    </row>
    <row r="516" spans="1:9">
      <c r="A516" s="17">
        <v>501</v>
      </c>
      <c r="B516" s="17" t="s">
        <v>104</v>
      </c>
      <c r="C516" s="17" t="s">
        <v>92</v>
      </c>
      <c r="D516" s="17">
        <v>121</v>
      </c>
      <c r="E516" s="17" t="s">
        <v>93</v>
      </c>
      <c r="F516" s="17">
        <v>1</v>
      </c>
      <c r="G516" s="17" t="str">
        <f t="shared" si="7"/>
        <v>M0112-A-121-1</v>
      </c>
      <c r="H516" s="17">
        <v>175.65</v>
      </c>
      <c r="I516" s="17">
        <v>177.09</v>
      </c>
    </row>
    <row r="517" spans="1:9">
      <c r="A517" s="17">
        <v>501</v>
      </c>
      <c r="B517" s="17" t="s">
        <v>104</v>
      </c>
      <c r="C517" s="17" t="s">
        <v>92</v>
      </c>
      <c r="D517" s="17">
        <v>121</v>
      </c>
      <c r="E517" s="17" t="s">
        <v>93</v>
      </c>
      <c r="F517" s="17">
        <v>2</v>
      </c>
      <c r="G517" s="17" t="str">
        <f t="shared" si="7"/>
        <v>M0112-A-121-2</v>
      </c>
      <c r="H517" s="17">
        <v>177.09</v>
      </c>
      <c r="I517" s="17">
        <v>177.89</v>
      </c>
    </row>
    <row r="518" spans="1:9">
      <c r="A518" s="17">
        <v>501</v>
      </c>
      <c r="B518" s="17" t="s">
        <v>104</v>
      </c>
      <c r="C518" s="17" t="s">
        <v>92</v>
      </c>
      <c r="D518" s="17">
        <v>122</v>
      </c>
      <c r="E518" s="17" t="s">
        <v>93</v>
      </c>
      <c r="F518" s="17">
        <v>1</v>
      </c>
      <c r="G518" s="17" t="str">
        <f t="shared" si="7"/>
        <v>M0112-A-122-1</v>
      </c>
      <c r="H518" s="17">
        <v>177.89</v>
      </c>
      <c r="I518" s="17">
        <v>179.39</v>
      </c>
    </row>
    <row r="519" spans="1:9">
      <c r="A519" s="17">
        <v>501</v>
      </c>
      <c r="B519" s="17" t="s">
        <v>104</v>
      </c>
      <c r="C519" s="17" t="s">
        <v>92</v>
      </c>
      <c r="D519" s="17">
        <v>122</v>
      </c>
      <c r="E519" s="17" t="s">
        <v>93</v>
      </c>
      <c r="F519" s="17">
        <v>2</v>
      </c>
      <c r="G519" s="17" t="str">
        <f t="shared" si="7"/>
        <v>M0112-A-122-2</v>
      </c>
      <c r="H519" s="17">
        <v>179.39</v>
      </c>
      <c r="I519" s="17">
        <v>180.25</v>
      </c>
    </row>
    <row r="520" spans="1:9">
      <c r="A520" s="17">
        <v>501</v>
      </c>
      <c r="B520" s="17" t="s">
        <v>104</v>
      </c>
      <c r="C520" s="17" t="s">
        <v>92</v>
      </c>
      <c r="D520" s="17">
        <v>123</v>
      </c>
      <c r="E520" s="17" t="s">
        <v>93</v>
      </c>
      <c r="F520" s="17">
        <v>1</v>
      </c>
      <c r="G520" s="17" t="str">
        <f t="shared" si="7"/>
        <v>M0112-A-123-1</v>
      </c>
      <c r="H520" s="17">
        <v>180.25</v>
      </c>
      <c r="I520" s="17">
        <v>181.74</v>
      </c>
    </row>
    <row r="521" spans="1:9">
      <c r="A521" s="17">
        <v>501</v>
      </c>
      <c r="B521" s="17" t="s">
        <v>104</v>
      </c>
      <c r="C521" s="17" t="s">
        <v>92</v>
      </c>
      <c r="D521" s="17">
        <v>123</v>
      </c>
      <c r="E521" s="17" t="s">
        <v>93</v>
      </c>
      <c r="F521" s="17">
        <v>2</v>
      </c>
      <c r="G521" s="17" t="str">
        <f t="shared" si="7"/>
        <v>M0112-A-123-2</v>
      </c>
      <c r="H521" s="17">
        <v>181.74</v>
      </c>
      <c r="I521" s="17">
        <v>182.93</v>
      </c>
    </row>
    <row r="522" spans="1:9">
      <c r="A522" s="17">
        <v>501</v>
      </c>
      <c r="B522" s="17" t="s">
        <v>104</v>
      </c>
      <c r="C522" s="17" t="s">
        <v>92</v>
      </c>
      <c r="D522" s="17">
        <v>124</v>
      </c>
      <c r="E522" s="17" t="s">
        <v>93</v>
      </c>
      <c r="F522" s="17">
        <v>1</v>
      </c>
      <c r="G522" s="17" t="str">
        <f t="shared" si="7"/>
        <v>M0112-A-124-1</v>
      </c>
      <c r="H522" s="17">
        <v>182.93</v>
      </c>
      <c r="I522" s="17">
        <v>184.43</v>
      </c>
    </row>
    <row r="523" spans="1:9">
      <c r="A523" s="17">
        <v>501</v>
      </c>
      <c r="B523" s="17" t="s">
        <v>104</v>
      </c>
      <c r="C523" s="17" t="s">
        <v>92</v>
      </c>
      <c r="D523" s="17">
        <v>124</v>
      </c>
      <c r="E523" s="17" t="s">
        <v>93</v>
      </c>
      <c r="F523" s="17">
        <v>2</v>
      </c>
      <c r="G523" s="17" t="str">
        <f t="shared" si="7"/>
        <v>M0112-A-124-2</v>
      </c>
      <c r="H523" s="17">
        <v>184.43</v>
      </c>
      <c r="I523" s="17">
        <v>185.42</v>
      </c>
    </row>
    <row r="524" spans="1:9">
      <c r="A524" s="17">
        <v>501</v>
      </c>
      <c r="B524" s="17" t="s">
        <v>104</v>
      </c>
      <c r="C524" s="17" t="s">
        <v>92</v>
      </c>
      <c r="D524" s="17">
        <v>125</v>
      </c>
      <c r="E524" s="17" t="s">
        <v>93</v>
      </c>
      <c r="F524" s="17">
        <v>1</v>
      </c>
      <c r="G524" s="17" t="str">
        <f t="shared" si="7"/>
        <v>M0112-A-125-1</v>
      </c>
      <c r="H524" s="17">
        <v>185.42</v>
      </c>
      <c r="I524" s="17">
        <v>186.92</v>
      </c>
    </row>
    <row r="525" spans="1:9">
      <c r="A525" s="17">
        <v>501</v>
      </c>
      <c r="B525" s="17" t="s">
        <v>104</v>
      </c>
      <c r="C525" s="17" t="s">
        <v>92</v>
      </c>
      <c r="D525" s="17">
        <v>125</v>
      </c>
      <c r="E525" s="17" t="s">
        <v>93</v>
      </c>
      <c r="F525" s="17">
        <v>2</v>
      </c>
      <c r="G525" s="17" t="str">
        <f t="shared" si="7"/>
        <v>M0112-A-125-2</v>
      </c>
      <c r="H525" s="17">
        <v>186.92</v>
      </c>
      <c r="I525" s="17">
        <v>188.09</v>
      </c>
    </row>
    <row r="526" spans="1:9">
      <c r="A526" s="17">
        <v>501</v>
      </c>
      <c r="B526" s="17" t="s">
        <v>104</v>
      </c>
      <c r="C526" s="17" t="s">
        <v>92</v>
      </c>
      <c r="D526" s="17">
        <v>126</v>
      </c>
      <c r="E526" s="17" t="s">
        <v>93</v>
      </c>
      <c r="F526" s="17">
        <v>1</v>
      </c>
      <c r="G526" s="17" t="str">
        <f t="shared" si="7"/>
        <v>M0112-A-126-1</v>
      </c>
      <c r="H526" s="17">
        <v>197.88</v>
      </c>
      <c r="I526" s="17">
        <v>188.63</v>
      </c>
    </row>
    <row r="527" spans="1:9">
      <c r="A527" s="17">
        <v>501</v>
      </c>
      <c r="B527" s="17" t="s">
        <v>104</v>
      </c>
      <c r="C527" s="17" t="s">
        <v>92</v>
      </c>
      <c r="D527" s="17">
        <v>127</v>
      </c>
      <c r="E527" s="17" t="s">
        <v>93</v>
      </c>
      <c r="F527" s="17">
        <v>1</v>
      </c>
      <c r="G527" s="17" t="str">
        <f t="shared" si="7"/>
        <v>M0112-A-127-1</v>
      </c>
      <c r="H527" s="17">
        <v>188.63</v>
      </c>
      <c r="I527" s="17">
        <v>190.13</v>
      </c>
    </row>
    <row r="528" spans="1:9">
      <c r="A528" s="17">
        <v>501</v>
      </c>
      <c r="B528" s="17" t="s">
        <v>104</v>
      </c>
      <c r="C528" s="17" t="s">
        <v>92</v>
      </c>
      <c r="D528" s="17">
        <v>127</v>
      </c>
      <c r="E528" s="17" t="s">
        <v>93</v>
      </c>
      <c r="F528" s="17">
        <v>2</v>
      </c>
      <c r="G528" s="17" t="str">
        <f t="shared" si="7"/>
        <v>M0112-A-127-2</v>
      </c>
      <c r="H528" s="17">
        <v>190.13</v>
      </c>
      <c r="I528" s="17">
        <v>191.38</v>
      </c>
    </row>
    <row r="529" spans="1:9">
      <c r="A529" s="17">
        <v>501</v>
      </c>
      <c r="B529" s="17" t="s">
        <v>104</v>
      </c>
      <c r="C529" s="17" t="s">
        <v>92</v>
      </c>
      <c r="D529" s="17">
        <v>128</v>
      </c>
      <c r="E529" s="17" t="s">
        <v>93</v>
      </c>
      <c r="F529" s="17">
        <v>1</v>
      </c>
      <c r="G529" s="17" t="str">
        <f t="shared" si="7"/>
        <v>M0112-A-128-1</v>
      </c>
      <c r="H529" s="17">
        <v>191.38</v>
      </c>
      <c r="I529" s="17">
        <v>192.7</v>
      </c>
    </row>
    <row r="530" spans="1:9">
      <c r="A530" s="17">
        <v>501</v>
      </c>
      <c r="B530" s="17" t="s">
        <v>104</v>
      </c>
      <c r="C530" s="17" t="s">
        <v>92</v>
      </c>
      <c r="D530" s="17">
        <v>128</v>
      </c>
      <c r="E530" s="17" t="s">
        <v>93</v>
      </c>
      <c r="F530" s="17">
        <v>2</v>
      </c>
      <c r="G530" s="17" t="str">
        <f t="shared" si="7"/>
        <v>M0112-A-128-2</v>
      </c>
      <c r="H530" s="17">
        <v>192.7</v>
      </c>
      <c r="I530" s="17">
        <v>192.88</v>
      </c>
    </row>
    <row r="531" spans="1:9">
      <c r="A531" s="17">
        <v>501</v>
      </c>
      <c r="B531" s="17" t="s">
        <v>104</v>
      </c>
      <c r="C531" s="17" t="s">
        <v>92</v>
      </c>
      <c r="D531" s="17">
        <v>129</v>
      </c>
      <c r="E531" s="17" t="s">
        <v>93</v>
      </c>
      <c r="F531" s="17">
        <v>1</v>
      </c>
      <c r="G531" s="17" t="str">
        <f t="shared" si="7"/>
        <v>M0112-A-129-1</v>
      </c>
      <c r="H531" s="17">
        <v>192.88</v>
      </c>
      <c r="I531" s="17">
        <v>193.73</v>
      </c>
    </row>
    <row r="532" spans="1:9">
      <c r="A532" s="17">
        <v>501</v>
      </c>
      <c r="B532" s="17" t="s">
        <v>104</v>
      </c>
      <c r="C532" s="17" t="s">
        <v>92</v>
      </c>
      <c r="D532" s="17">
        <v>130</v>
      </c>
      <c r="E532" s="17" t="s">
        <v>93</v>
      </c>
      <c r="F532" s="17">
        <v>1</v>
      </c>
      <c r="G532" s="17" t="str">
        <f t="shared" si="7"/>
        <v>M0112-A-130-1</v>
      </c>
      <c r="H532" s="17">
        <v>193.73</v>
      </c>
      <c r="I532" s="17">
        <v>194.25</v>
      </c>
    </row>
    <row r="533" spans="1:9">
      <c r="A533" s="17">
        <v>501</v>
      </c>
      <c r="B533" s="17" t="s">
        <v>104</v>
      </c>
      <c r="C533" s="17" t="s">
        <v>92</v>
      </c>
      <c r="D533" s="17">
        <v>131</v>
      </c>
      <c r="E533" s="17" t="s">
        <v>95</v>
      </c>
      <c r="F533" s="17">
        <v>1</v>
      </c>
      <c r="G533" s="17" t="str">
        <f t="shared" si="7"/>
        <v>M0112-A-131-1</v>
      </c>
      <c r="H533" s="17">
        <v>194.25</v>
      </c>
      <c r="I533" s="17">
        <v>195.14</v>
      </c>
    </row>
    <row r="534" spans="1:9">
      <c r="A534" s="17">
        <v>501</v>
      </c>
      <c r="B534" s="17" t="s">
        <v>104</v>
      </c>
      <c r="C534" s="17" t="s">
        <v>92</v>
      </c>
      <c r="D534" s="17">
        <v>132</v>
      </c>
      <c r="E534" s="17" t="s">
        <v>95</v>
      </c>
      <c r="F534" s="17">
        <v>1</v>
      </c>
      <c r="G534" s="17" t="str">
        <f t="shared" si="7"/>
        <v>M0112-A-132-1</v>
      </c>
      <c r="H534" s="17">
        <v>195.21</v>
      </c>
      <c r="I534" s="17">
        <v>196.71</v>
      </c>
    </row>
    <row r="535" spans="1:9">
      <c r="A535" s="17">
        <v>501</v>
      </c>
      <c r="B535" s="17" t="s">
        <v>104</v>
      </c>
      <c r="C535" s="17" t="s">
        <v>92</v>
      </c>
      <c r="D535" s="17">
        <v>132</v>
      </c>
      <c r="E535" s="17" t="s">
        <v>95</v>
      </c>
      <c r="F535" s="17">
        <v>2</v>
      </c>
      <c r="G535" s="17" t="str">
        <f t="shared" si="7"/>
        <v>M0112-A-132-2</v>
      </c>
      <c r="H535" s="17">
        <v>196.71</v>
      </c>
      <c r="I535" s="17">
        <v>197.21</v>
      </c>
    </row>
    <row r="536" spans="1:9">
      <c r="A536" s="17">
        <v>501</v>
      </c>
      <c r="B536" s="17" t="s">
        <v>104</v>
      </c>
      <c r="C536" s="17" t="s">
        <v>92</v>
      </c>
      <c r="D536" s="17">
        <v>133</v>
      </c>
      <c r="E536" s="17" t="s">
        <v>95</v>
      </c>
      <c r="F536" s="17">
        <v>1</v>
      </c>
      <c r="G536" s="17" t="str">
        <f t="shared" si="7"/>
        <v>M0112-A-133-1</v>
      </c>
      <c r="H536" s="17">
        <v>197.21</v>
      </c>
      <c r="I536" s="17">
        <v>197.81</v>
      </c>
    </row>
    <row r="537" spans="1:9">
      <c r="A537" s="17">
        <v>501</v>
      </c>
      <c r="B537" s="17" t="s">
        <v>104</v>
      </c>
      <c r="C537" s="17" t="s">
        <v>92</v>
      </c>
      <c r="D537" s="17">
        <v>133</v>
      </c>
      <c r="E537" s="17" t="s">
        <v>95</v>
      </c>
      <c r="F537" s="17">
        <v>2</v>
      </c>
      <c r="G537" s="17" t="str">
        <f t="shared" si="7"/>
        <v>M0112-A-133-2</v>
      </c>
      <c r="H537" s="17">
        <v>197.81</v>
      </c>
      <c r="I537" s="17">
        <v>198.36</v>
      </c>
    </row>
    <row r="538" spans="1:9">
      <c r="A538" s="17">
        <v>501</v>
      </c>
      <c r="B538" s="17" t="s">
        <v>104</v>
      </c>
      <c r="C538" s="17" t="s">
        <v>92</v>
      </c>
      <c r="D538" s="17">
        <v>134</v>
      </c>
      <c r="E538" s="17" t="s">
        <v>95</v>
      </c>
      <c r="F538" s="17">
        <v>1</v>
      </c>
      <c r="G538" s="17" t="str">
        <f t="shared" si="7"/>
        <v>M0112-A-134-1</v>
      </c>
      <c r="H538" s="17">
        <v>200.21</v>
      </c>
      <c r="I538" s="17">
        <v>200.55</v>
      </c>
    </row>
    <row r="539" spans="1:9">
      <c r="A539" s="17">
        <v>501</v>
      </c>
      <c r="B539" s="17" t="s">
        <v>104</v>
      </c>
      <c r="C539" s="17" t="s">
        <v>92</v>
      </c>
      <c r="D539" s="17">
        <v>136</v>
      </c>
      <c r="E539" s="17" t="s">
        <v>93</v>
      </c>
      <c r="F539" s="17">
        <v>1</v>
      </c>
      <c r="G539" s="17" t="str">
        <f t="shared" si="7"/>
        <v>M0112-A-136-1</v>
      </c>
      <c r="H539" s="17">
        <v>203.21</v>
      </c>
      <c r="I539" s="17">
        <v>204.78</v>
      </c>
    </row>
    <row r="540" spans="1:9">
      <c r="A540" s="17">
        <v>501</v>
      </c>
      <c r="B540" s="17" t="s">
        <v>104</v>
      </c>
      <c r="C540" s="17" t="s">
        <v>92</v>
      </c>
      <c r="D540" s="17">
        <v>136</v>
      </c>
      <c r="E540" s="17" t="s">
        <v>93</v>
      </c>
      <c r="F540" s="17">
        <v>2</v>
      </c>
      <c r="G540" s="17" t="str">
        <f t="shared" si="7"/>
        <v>M0112-A-136-2</v>
      </c>
      <c r="H540" s="17">
        <v>204.78</v>
      </c>
      <c r="I540" s="17">
        <v>205.28</v>
      </c>
    </row>
    <row r="541" spans="1:9">
      <c r="A541" s="17">
        <v>501</v>
      </c>
      <c r="B541" s="17" t="s">
        <v>104</v>
      </c>
      <c r="C541" s="17" t="s">
        <v>92</v>
      </c>
      <c r="D541" s="17">
        <v>137</v>
      </c>
      <c r="E541" s="17" t="s">
        <v>93</v>
      </c>
      <c r="F541" s="17">
        <v>1</v>
      </c>
      <c r="G541" s="17" t="str">
        <f t="shared" si="7"/>
        <v>M0112-A-137-1</v>
      </c>
      <c r="H541" s="17">
        <v>205.28</v>
      </c>
      <c r="I541" s="17">
        <v>206.2</v>
      </c>
    </row>
    <row r="542" spans="1:9">
      <c r="A542" s="17">
        <v>501</v>
      </c>
      <c r="B542" s="17" t="s">
        <v>104</v>
      </c>
      <c r="C542" s="17" t="s">
        <v>92</v>
      </c>
      <c r="D542" s="17">
        <v>137</v>
      </c>
      <c r="E542" s="17" t="s">
        <v>93</v>
      </c>
      <c r="F542" s="17">
        <v>2</v>
      </c>
      <c r="G542" s="17" t="str">
        <f t="shared" si="7"/>
        <v>M0112-A-137-2</v>
      </c>
      <c r="H542" s="17">
        <v>206.2</v>
      </c>
      <c r="I542" s="17">
        <v>207.71</v>
      </c>
    </row>
    <row r="543" spans="1:9">
      <c r="A543" s="17">
        <v>501</v>
      </c>
      <c r="B543" s="17" t="s">
        <v>104</v>
      </c>
      <c r="C543" s="17" t="s">
        <v>92</v>
      </c>
      <c r="D543" s="17">
        <v>138</v>
      </c>
      <c r="E543" s="17" t="s">
        <v>93</v>
      </c>
      <c r="F543" s="17">
        <v>1</v>
      </c>
      <c r="G543" s="17" t="str">
        <f t="shared" si="7"/>
        <v>M0112-A-138-1</v>
      </c>
      <c r="H543" s="17">
        <v>207.71</v>
      </c>
      <c r="I543" s="17">
        <v>208.14</v>
      </c>
    </row>
    <row r="544" spans="1:9">
      <c r="A544" s="17">
        <v>501</v>
      </c>
      <c r="B544" s="17" t="s">
        <v>104</v>
      </c>
      <c r="C544" s="17" t="s">
        <v>92</v>
      </c>
      <c r="D544" s="17">
        <v>139</v>
      </c>
      <c r="E544" s="17" t="s">
        <v>93</v>
      </c>
      <c r="F544" s="17">
        <v>1</v>
      </c>
      <c r="G544" s="17" t="str">
        <f t="shared" si="7"/>
        <v>M0112-A-139-1</v>
      </c>
      <c r="H544" s="17">
        <v>208.14</v>
      </c>
      <c r="I544" s="17">
        <v>209.64</v>
      </c>
    </row>
    <row r="545" spans="1:9">
      <c r="A545" s="17">
        <v>501</v>
      </c>
      <c r="B545" s="17" t="s">
        <v>104</v>
      </c>
      <c r="C545" s="17" t="s">
        <v>92</v>
      </c>
      <c r="D545" s="17">
        <v>139</v>
      </c>
      <c r="E545" s="17" t="s">
        <v>93</v>
      </c>
      <c r="F545" s="17">
        <v>2</v>
      </c>
      <c r="G545" s="17" t="str">
        <f t="shared" si="7"/>
        <v>M0112-A-139-2</v>
      </c>
      <c r="H545" s="17">
        <v>209.64</v>
      </c>
      <c r="I545" s="17">
        <v>210.33</v>
      </c>
    </row>
    <row r="546" spans="1:9">
      <c r="A546" s="17">
        <v>501</v>
      </c>
      <c r="B546" s="17" t="s">
        <v>104</v>
      </c>
      <c r="C546" s="17" t="s">
        <v>92</v>
      </c>
      <c r="D546" s="17">
        <v>140</v>
      </c>
      <c r="E546" s="17" t="s">
        <v>93</v>
      </c>
      <c r="F546" s="17">
        <v>1</v>
      </c>
      <c r="G546" s="17" t="str">
        <f t="shared" si="7"/>
        <v>M0112-A-140-1</v>
      </c>
      <c r="H546" s="17">
        <v>210.33</v>
      </c>
      <c r="I546" s="17">
        <v>211.83</v>
      </c>
    </row>
    <row r="547" spans="1:9">
      <c r="A547" s="17">
        <v>501</v>
      </c>
      <c r="B547" s="17" t="s">
        <v>104</v>
      </c>
      <c r="C547" s="17" t="s">
        <v>92</v>
      </c>
      <c r="D547" s="17">
        <v>140</v>
      </c>
      <c r="E547" s="17" t="s">
        <v>93</v>
      </c>
      <c r="F547" s="17">
        <v>2</v>
      </c>
      <c r="G547" s="17" t="str">
        <f t="shared" si="7"/>
        <v>M0112-A-140-2</v>
      </c>
      <c r="H547" s="17">
        <v>211.83</v>
      </c>
      <c r="I547" s="17">
        <v>212.68</v>
      </c>
    </row>
    <row r="548" spans="1:9">
      <c r="A548" s="17">
        <v>501</v>
      </c>
      <c r="B548" s="17" t="s">
        <v>104</v>
      </c>
      <c r="C548" s="17" t="s">
        <v>92</v>
      </c>
      <c r="D548" s="17">
        <v>141</v>
      </c>
      <c r="E548" s="17" t="s">
        <v>93</v>
      </c>
      <c r="F548" s="17">
        <v>1</v>
      </c>
      <c r="G548" s="17" t="str">
        <f t="shared" si="7"/>
        <v>M0112-A-141-1</v>
      </c>
      <c r="H548" s="17">
        <v>212.68</v>
      </c>
      <c r="I548" s="17">
        <v>214.18</v>
      </c>
    </row>
    <row r="549" spans="1:9">
      <c r="A549" s="17">
        <v>501</v>
      </c>
      <c r="B549" s="17" t="s">
        <v>104</v>
      </c>
      <c r="C549" s="17" t="s">
        <v>92</v>
      </c>
      <c r="D549" s="17">
        <v>141</v>
      </c>
      <c r="E549" s="17" t="s">
        <v>93</v>
      </c>
      <c r="F549" s="17">
        <v>2</v>
      </c>
      <c r="G549" s="17" t="str">
        <f t="shared" si="7"/>
        <v>M0112-A-141-2</v>
      </c>
      <c r="H549" s="17">
        <v>214.18</v>
      </c>
      <c r="I549" s="17">
        <v>215.34</v>
      </c>
    </row>
    <row r="550" spans="1:9">
      <c r="A550" s="17">
        <v>501</v>
      </c>
      <c r="B550" s="17" t="s">
        <v>104</v>
      </c>
      <c r="C550" s="17" t="s">
        <v>92</v>
      </c>
      <c r="D550" s="17">
        <v>142</v>
      </c>
      <c r="E550" s="17" t="s">
        <v>93</v>
      </c>
      <c r="F550" s="17">
        <v>1</v>
      </c>
      <c r="G550" s="17" t="str">
        <f t="shared" si="7"/>
        <v>M0112-A-142-1</v>
      </c>
      <c r="H550" s="17">
        <v>215.34</v>
      </c>
      <c r="I550" s="17">
        <v>216.11</v>
      </c>
    </row>
    <row r="551" spans="1:9">
      <c r="A551" s="17">
        <v>501</v>
      </c>
      <c r="B551" s="17" t="s">
        <v>104</v>
      </c>
      <c r="C551" s="17" t="s">
        <v>92</v>
      </c>
      <c r="D551" s="17">
        <v>143</v>
      </c>
      <c r="E551" s="17" t="s">
        <v>95</v>
      </c>
      <c r="F551" s="17">
        <v>1</v>
      </c>
      <c r="G551" s="17" t="str">
        <f t="shared" si="7"/>
        <v>M0112-A-143-1</v>
      </c>
      <c r="H551" s="17">
        <v>216.11</v>
      </c>
      <c r="I551" s="17">
        <v>216.66</v>
      </c>
    </row>
    <row r="552" spans="1:9">
      <c r="A552" s="17">
        <v>501</v>
      </c>
      <c r="B552" s="17" t="s">
        <v>104</v>
      </c>
      <c r="C552" s="17" t="s">
        <v>92</v>
      </c>
      <c r="D552" s="17">
        <v>144</v>
      </c>
      <c r="E552" s="17" t="s">
        <v>95</v>
      </c>
      <c r="F552" s="17">
        <v>1</v>
      </c>
      <c r="G552" s="17" t="str">
        <f t="shared" si="7"/>
        <v>M0112-A-144-1</v>
      </c>
      <c r="H552" s="17">
        <v>216.36</v>
      </c>
      <c r="I552" s="17">
        <v>217.36</v>
      </c>
    </row>
    <row r="553" spans="1:9">
      <c r="A553" s="17">
        <v>501</v>
      </c>
      <c r="B553" s="17" t="s">
        <v>104</v>
      </c>
      <c r="C553" s="17" t="s">
        <v>92</v>
      </c>
      <c r="D553" s="17">
        <v>144</v>
      </c>
      <c r="E553" s="17" t="s">
        <v>95</v>
      </c>
      <c r="F553" s="17">
        <v>2</v>
      </c>
      <c r="G553" s="17" t="str">
        <f t="shared" si="7"/>
        <v>M0112-A-144-2</v>
      </c>
      <c r="H553" s="17">
        <v>217.36</v>
      </c>
      <c r="I553" s="17">
        <v>218.18</v>
      </c>
    </row>
    <row r="554" spans="1:9">
      <c r="A554" s="17">
        <v>501</v>
      </c>
      <c r="B554" s="17" t="s">
        <v>104</v>
      </c>
      <c r="C554" s="17" t="s">
        <v>92</v>
      </c>
      <c r="D554" s="17">
        <v>145</v>
      </c>
      <c r="E554" s="17" t="s">
        <v>95</v>
      </c>
      <c r="F554" s="17">
        <v>1</v>
      </c>
      <c r="G554" s="17" t="str">
        <f t="shared" si="7"/>
        <v>M0112-A-145-1</v>
      </c>
      <c r="H554" s="17">
        <v>218.21</v>
      </c>
      <c r="I554" s="17">
        <v>218.96</v>
      </c>
    </row>
    <row r="555" spans="1:9">
      <c r="A555" s="17">
        <v>501</v>
      </c>
      <c r="B555" s="17" t="s">
        <v>104</v>
      </c>
      <c r="C555" s="17" t="s">
        <v>92</v>
      </c>
      <c r="D555" s="17">
        <v>145</v>
      </c>
      <c r="E555" s="17" t="s">
        <v>95</v>
      </c>
      <c r="F555" s="17">
        <v>2</v>
      </c>
      <c r="G555" s="17" t="str">
        <f t="shared" si="7"/>
        <v>M0112-A-145-2</v>
      </c>
      <c r="H555" s="17">
        <v>218.96</v>
      </c>
      <c r="I555" s="17">
        <v>219.49</v>
      </c>
    </row>
    <row r="556" spans="1:9">
      <c r="A556" s="17">
        <v>501</v>
      </c>
      <c r="B556" s="17" t="s">
        <v>104</v>
      </c>
      <c r="C556" s="17" t="s">
        <v>92</v>
      </c>
      <c r="D556" s="17">
        <v>145</v>
      </c>
      <c r="E556" s="17" t="s">
        <v>95</v>
      </c>
      <c r="F556" s="17">
        <v>3</v>
      </c>
      <c r="G556" s="17" t="str">
        <f t="shared" si="7"/>
        <v>M0112-A-145-3</v>
      </c>
      <c r="H556" s="17">
        <v>219.49</v>
      </c>
      <c r="I556" s="17">
        <v>219.58</v>
      </c>
    </row>
    <row r="557" spans="1:9">
      <c r="A557" s="17">
        <v>501</v>
      </c>
      <c r="B557" s="17" t="s">
        <v>104</v>
      </c>
      <c r="C557" s="17" t="s">
        <v>92</v>
      </c>
      <c r="D557" s="17">
        <v>146</v>
      </c>
      <c r="E557" s="17" t="s">
        <v>95</v>
      </c>
      <c r="F557" s="17">
        <v>1</v>
      </c>
      <c r="G557" s="17" t="str">
        <f t="shared" si="7"/>
        <v>M0112-A-146-1</v>
      </c>
      <c r="H557" s="17">
        <v>219.61</v>
      </c>
      <c r="I557" s="17">
        <v>219.62</v>
      </c>
    </row>
    <row r="558" spans="1:9">
      <c r="A558" s="17">
        <v>501</v>
      </c>
      <c r="B558" s="17" t="s">
        <v>104</v>
      </c>
      <c r="C558" s="17" t="s">
        <v>92</v>
      </c>
      <c r="D558" s="17">
        <v>147</v>
      </c>
      <c r="E558" s="17" t="s">
        <v>95</v>
      </c>
      <c r="F558" s="17">
        <v>1</v>
      </c>
      <c r="G558" s="17" t="str">
        <f t="shared" si="7"/>
        <v>M0112-A-147-1</v>
      </c>
      <c r="H558" s="17">
        <v>219.81</v>
      </c>
      <c r="I558" s="17">
        <v>220.06</v>
      </c>
    </row>
    <row r="559" spans="1:9">
      <c r="A559" s="17">
        <v>501</v>
      </c>
      <c r="B559" s="17" t="s">
        <v>104</v>
      </c>
      <c r="C559" s="17" t="s">
        <v>92</v>
      </c>
      <c r="D559" s="17">
        <v>148</v>
      </c>
      <c r="E559" s="17" t="s">
        <v>95</v>
      </c>
      <c r="F559" s="17">
        <v>1</v>
      </c>
      <c r="G559" s="17" t="str">
        <f t="shared" si="7"/>
        <v>M0112-A-148-1</v>
      </c>
      <c r="H559" s="17">
        <v>221.21</v>
      </c>
      <c r="I559" s="17">
        <v>221.42</v>
      </c>
    </row>
    <row r="560" spans="1:9">
      <c r="A560" s="17">
        <v>501</v>
      </c>
      <c r="B560" s="17" t="s">
        <v>104</v>
      </c>
      <c r="C560" s="17" t="s">
        <v>92</v>
      </c>
      <c r="D560" s="17">
        <v>149</v>
      </c>
      <c r="E560" s="17" t="s">
        <v>95</v>
      </c>
      <c r="F560" s="17">
        <v>1</v>
      </c>
      <c r="G560" s="17" t="str">
        <f t="shared" si="7"/>
        <v>M0112-A-149-1</v>
      </c>
      <c r="H560" s="17">
        <v>223.21</v>
      </c>
      <c r="I560" s="17">
        <v>223.23</v>
      </c>
    </row>
    <row r="561" spans="1:9">
      <c r="A561" s="17">
        <v>501</v>
      </c>
      <c r="B561" s="17" t="s">
        <v>104</v>
      </c>
      <c r="C561" s="17" t="s">
        <v>92</v>
      </c>
      <c r="D561" s="17">
        <v>150</v>
      </c>
      <c r="E561" s="17" t="s">
        <v>93</v>
      </c>
      <c r="F561" s="17">
        <v>1</v>
      </c>
      <c r="G561" s="17" t="str">
        <f t="shared" si="7"/>
        <v>M0112-A-150-1</v>
      </c>
      <c r="H561" s="17">
        <v>224.21</v>
      </c>
      <c r="I561" s="17">
        <v>224.66</v>
      </c>
    </row>
    <row r="562" spans="1:9">
      <c r="A562" s="17">
        <v>501</v>
      </c>
      <c r="B562" s="17" t="s">
        <v>104</v>
      </c>
      <c r="C562" s="17" t="s">
        <v>92</v>
      </c>
      <c r="D562" s="17">
        <v>151</v>
      </c>
      <c r="E562" s="17" t="s">
        <v>95</v>
      </c>
      <c r="F562" s="17">
        <v>1</v>
      </c>
      <c r="G562" s="17" t="str">
        <f t="shared" si="7"/>
        <v>M0112-A-151-1</v>
      </c>
      <c r="H562" s="17">
        <v>224.66</v>
      </c>
      <c r="I562" s="17">
        <v>225.92</v>
      </c>
    </row>
    <row r="563" spans="1:9">
      <c r="A563" s="17">
        <v>501</v>
      </c>
      <c r="B563" s="17" t="s">
        <v>104</v>
      </c>
      <c r="C563" s="17" t="s">
        <v>92</v>
      </c>
      <c r="D563" s="17">
        <v>152</v>
      </c>
      <c r="E563" s="17" t="s">
        <v>95</v>
      </c>
      <c r="F563" s="17">
        <v>1</v>
      </c>
      <c r="G563" s="17" t="str">
        <f t="shared" si="7"/>
        <v>M0112-A-152-1</v>
      </c>
      <c r="H563" s="17">
        <v>225.66</v>
      </c>
      <c r="I563" s="17">
        <v>225.94</v>
      </c>
    </row>
    <row r="564" spans="1:9">
      <c r="A564" s="17">
        <v>501</v>
      </c>
      <c r="B564" s="17" t="s">
        <v>104</v>
      </c>
      <c r="C564" s="17" t="s">
        <v>92</v>
      </c>
      <c r="D564" s="17">
        <v>153</v>
      </c>
      <c r="E564" s="17" t="s">
        <v>95</v>
      </c>
      <c r="F564" s="17">
        <v>1</v>
      </c>
      <c r="G564" s="17" t="str">
        <f t="shared" si="7"/>
        <v>M0112-A-153-1</v>
      </c>
      <c r="H564" s="17">
        <v>227.21</v>
      </c>
      <c r="I564" s="17">
        <v>227.87</v>
      </c>
    </row>
    <row r="565" spans="1:9">
      <c r="A565" s="17">
        <v>501</v>
      </c>
      <c r="B565" s="17" t="s">
        <v>104</v>
      </c>
      <c r="C565" s="17" t="s">
        <v>92</v>
      </c>
      <c r="D565" s="17">
        <v>154</v>
      </c>
      <c r="E565" s="17" t="s">
        <v>93</v>
      </c>
      <c r="F565" s="17">
        <v>1</v>
      </c>
      <c r="G565" s="17" t="str">
        <f t="shared" si="7"/>
        <v>M0112-A-154-1</v>
      </c>
      <c r="H565" s="17">
        <v>228.21</v>
      </c>
      <c r="I565" s="17">
        <v>228.84</v>
      </c>
    </row>
    <row r="566" spans="1:9">
      <c r="A566" s="17">
        <v>501</v>
      </c>
      <c r="B566" s="17" t="s">
        <v>104</v>
      </c>
      <c r="C566" s="17" t="s">
        <v>92</v>
      </c>
      <c r="D566" s="17">
        <v>155</v>
      </c>
      <c r="E566" s="17" t="s">
        <v>93</v>
      </c>
      <c r="F566" s="17">
        <v>1</v>
      </c>
      <c r="G566" s="17" t="str">
        <f t="shared" si="7"/>
        <v>M0112-A-155-1</v>
      </c>
      <c r="H566" s="17">
        <v>228.84</v>
      </c>
      <c r="I566" s="17">
        <v>229.09</v>
      </c>
    </row>
    <row r="567" spans="1:9">
      <c r="A567" s="17">
        <v>501</v>
      </c>
      <c r="B567" s="17" t="s">
        <v>104</v>
      </c>
      <c r="C567" s="17" t="s">
        <v>92</v>
      </c>
      <c r="D567" s="17">
        <v>155</v>
      </c>
      <c r="E567" s="17" t="s">
        <v>93</v>
      </c>
      <c r="F567" s="17">
        <v>2</v>
      </c>
      <c r="G567" s="17" t="str">
        <f t="shared" si="7"/>
        <v>M0112-A-155-2</v>
      </c>
      <c r="H567" s="17">
        <v>229.09</v>
      </c>
      <c r="I567" s="17">
        <v>230.45</v>
      </c>
    </row>
    <row r="568" spans="1:9">
      <c r="A568" s="17">
        <v>501</v>
      </c>
      <c r="B568" s="17" t="s">
        <v>104</v>
      </c>
      <c r="C568" s="17" t="s">
        <v>92</v>
      </c>
      <c r="D568" s="17">
        <v>156</v>
      </c>
      <c r="E568" s="17" t="s">
        <v>93</v>
      </c>
      <c r="F568" s="17">
        <v>1</v>
      </c>
      <c r="G568" s="17" t="str">
        <f t="shared" ref="G568:G631" si="8">CONCATENATE(B568, "-",C568, "-", D568, "-", F568)</f>
        <v>M0112-A-156-1</v>
      </c>
      <c r="H568" s="17">
        <v>230.45</v>
      </c>
      <c r="I568" s="17">
        <v>231.18</v>
      </c>
    </row>
    <row r="569" spans="1:9">
      <c r="A569" s="17">
        <v>501</v>
      </c>
      <c r="B569" s="17" t="s">
        <v>104</v>
      </c>
      <c r="C569" s="17" t="s">
        <v>92</v>
      </c>
      <c r="D569" s="17">
        <v>157</v>
      </c>
      <c r="E569" s="17" t="s">
        <v>93</v>
      </c>
      <c r="F569" s="17">
        <v>1</v>
      </c>
      <c r="G569" s="17" t="str">
        <f t="shared" si="8"/>
        <v>M0112-A-157-1</v>
      </c>
      <c r="H569" s="17">
        <v>231.18</v>
      </c>
      <c r="I569" s="17">
        <v>231.83</v>
      </c>
    </row>
    <row r="570" spans="1:9">
      <c r="A570" s="17">
        <v>501</v>
      </c>
      <c r="B570" s="17" t="s">
        <v>104</v>
      </c>
      <c r="C570" s="17" t="s">
        <v>92</v>
      </c>
      <c r="D570" s="17">
        <v>157</v>
      </c>
      <c r="E570" s="17" t="s">
        <v>93</v>
      </c>
      <c r="F570" s="17">
        <v>2</v>
      </c>
      <c r="G570" s="17" t="str">
        <f t="shared" si="8"/>
        <v>M0112-A-157-2</v>
      </c>
      <c r="H570" s="17">
        <v>231.83</v>
      </c>
      <c r="I570" s="17">
        <v>232.37</v>
      </c>
    </row>
    <row r="571" spans="1:9">
      <c r="A571" s="17">
        <v>501</v>
      </c>
      <c r="B571" s="17" t="s">
        <v>104</v>
      </c>
      <c r="C571" s="17" t="s">
        <v>92</v>
      </c>
      <c r="D571" s="17">
        <v>158</v>
      </c>
      <c r="E571" s="17" t="s">
        <v>93</v>
      </c>
      <c r="F571" s="17">
        <v>1</v>
      </c>
      <c r="G571" s="17" t="str">
        <f t="shared" si="8"/>
        <v>M0112-A-158-1</v>
      </c>
      <c r="H571" s="17">
        <v>232.37</v>
      </c>
      <c r="I571" s="17">
        <v>233.07</v>
      </c>
    </row>
    <row r="572" spans="1:9">
      <c r="A572" s="17">
        <v>501</v>
      </c>
      <c r="B572" s="17" t="s">
        <v>104</v>
      </c>
      <c r="C572" s="17" t="s">
        <v>92</v>
      </c>
      <c r="D572" s="17">
        <v>159</v>
      </c>
      <c r="E572" s="17" t="s">
        <v>95</v>
      </c>
      <c r="F572" s="17">
        <v>1</v>
      </c>
      <c r="G572" s="17" t="str">
        <f t="shared" si="8"/>
        <v>M0112-A-159-1</v>
      </c>
      <c r="H572" s="17">
        <v>233.07</v>
      </c>
      <c r="I572" s="17">
        <v>234.21</v>
      </c>
    </row>
    <row r="573" spans="1:9">
      <c r="A573" s="17">
        <v>501</v>
      </c>
      <c r="B573" s="17" t="s">
        <v>104</v>
      </c>
      <c r="C573" s="17" t="s">
        <v>92</v>
      </c>
      <c r="D573" s="17">
        <v>159</v>
      </c>
      <c r="E573" s="17" t="s">
        <v>95</v>
      </c>
      <c r="F573" s="17">
        <v>2</v>
      </c>
      <c r="G573" s="17" t="str">
        <f t="shared" si="8"/>
        <v>M0112-A-159-2</v>
      </c>
      <c r="H573" s="17">
        <v>234.21</v>
      </c>
      <c r="I573" s="17">
        <v>234.83</v>
      </c>
    </row>
    <row r="574" spans="1:9">
      <c r="A574" s="17">
        <v>501</v>
      </c>
      <c r="B574" s="17" t="s">
        <v>104</v>
      </c>
      <c r="C574" s="17" t="s">
        <v>92</v>
      </c>
      <c r="D574" s="17">
        <v>160</v>
      </c>
      <c r="E574" s="17" t="s">
        <v>95</v>
      </c>
      <c r="F574" s="17">
        <v>1</v>
      </c>
      <c r="G574" s="17" t="str">
        <f t="shared" si="8"/>
        <v>M0112-A-160-1</v>
      </c>
      <c r="H574" s="17">
        <v>235.21</v>
      </c>
      <c r="I574" s="17">
        <v>236.31</v>
      </c>
    </row>
    <row r="575" spans="1:9">
      <c r="A575" s="17">
        <v>501</v>
      </c>
      <c r="B575" s="17" t="s">
        <v>104</v>
      </c>
      <c r="C575" s="17" t="s">
        <v>92</v>
      </c>
      <c r="D575" s="17">
        <v>160</v>
      </c>
      <c r="E575" s="17" t="s">
        <v>95</v>
      </c>
      <c r="F575" s="17">
        <v>2</v>
      </c>
      <c r="G575" s="17" t="str">
        <f t="shared" si="8"/>
        <v>M0112-A-160-2</v>
      </c>
      <c r="H575" s="17">
        <v>236.31</v>
      </c>
      <c r="I575" s="17">
        <v>237.03</v>
      </c>
    </row>
    <row r="576" spans="1:9">
      <c r="A576" s="17">
        <v>501</v>
      </c>
      <c r="B576" s="17" t="s">
        <v>104</v>
      </c>
      <c r="C576" s="17" t="s">
        <v>92</v>
      </c>
      <c r="D576" s="17">
        <v>161</v>
      </c>
      <c r="E576" s="17" t="s">
        <v>95</v>
      </c>
      <c r="F576" s="17">
        <v>1</v>
      </c>
      <c r="G576" s="17" t="str">
        <f t="shared" si="8"/>
        <v>M0112-A-161-1</v>
      </c>
      <c r="H576" s="17">
        <v>238.21</v>
      </c>
      <c r="I576" s="17">
        <v>238.86</v>
      </c>
    </row>
    <row r="577" spans="1:9">
      <c r="A577" s="17">
        <v>501</v>
      </c>
      <c r="B577" s="17" t="s">
        <v>104</v>
      </c>
      <c r="C577" s="17" t="s">
        <v>92</v>
      </c>
      <c r="D577" s="17">
        <v>161</v>
      </c>
      <c r="E577" s="17" t="s">
        <v>95</v>
      </c>
      <c r="F577" s="17">
        <v>2</v>
      </c>
      <c r="G577" s="17" t="str">
        <f t="shared" si="8"/>
        <v>M0112-A-161-2</v>
      </c>
      <c r="H577" s="17">
        <v>238.86</v>
      </c>
      <c r="I577" s="17">
        <v>239.36</v>
      </c>
    </row>
    <row r="578" spans="1:9">
      <c r="A578" s="17">
        <v>501</v>
      </c>
      <c r="B578" s="17" t="s">
        <v>104</v>
      </c>
      <c r="C578" s="17" t="s">
        <v>92</v>
      </c>
      <c r="D578" s="17">
        <v>162</v>
      </c>
      <c r="E578" s="17" t="s">
        <v>95</v>
      </c>
      <c r="F578" s="17">
        <v>1</v>
      </c>
      <c r="G578" s="17" t="str">
        <f t="shared" si="8"/>
        <v>M0112-A-162-1</v>
      </c>
      <c r="H578" s="17">
        <v>240.21</v>
      </c>
      <c r="I578" s="17">
        <v>240.83</v>
      </c>
    </row>
    <row r="579" spans="1:9">
      <c r="A579" s="17">
        <v>501</v>
      </c>
      <c r="B579" s="17" t="s">
        <v>104</v>
      </c>
      <c r="C579" s="17" t="s">
        <v>92</v>
      </c>
      <c r="D579" s="17">
        <v>163</v>
      </c>
      <c r="E579" s="17" t="s">
        <v>95</v>
      </c>
      <c r="F579" s="17">
        <v>1</v>
      </c>
      <c r="G579" s="17" t="str">
        <f t="shared" si="8"/>
        <v>M0112-A-163-1</v>
      </c>
      <c r="H579" s="17">
        <v>242.21</v>
      </c>
      <c r="I579" s="17">
        <v>242.64</v>
      </c>
    </row>
    <row r="580" spans="1:9">
      <c r="A580" s="17">
        <v>501</v>
      </c>
      <c r="B580" s="17" t="s">
        <v>104</v>
      </c>
      <c r="C580" s="17" t="s">
        <v>92</v>
      </c>
      <c r="D580" s="17">
        <v>163</v>
      </c>
      <c r="E580" s="17" t="s">
        <v>95</v>
      </c>
      <c r="F580" s="17">
        <v>2</v>
      </c>
      <c r="G580" s="17" t="str">
        <f t="shared" si="8"/>
        <v>M0112-A-163-2</v>
      </c>
      <c r="H580" s="17">
        <v>242.64</v>
      </c>
      <c r="I580" s="17">
        <v>242.73</v>
      </c>
    </row>
    <row r="581" spans="1:9">
      <c r="A581" s="17">
        <v>501</v>
      </c>
      <c r="B581" s="17" t="s">
        <v>104</v>
      </c>
      <c r="C581" s="17" t="s">
        <v>92</v>
      </c>
      <c r="D581" s="17">
        <v>164</v>
      </c>
      <c r="E581" s="17" t="s">
        <v>95</v>
      </c>
      <c r="F581" s="17">
        <v>1</v>
      </c>
      <c r="G581" s="17" t="str">
        <f t="shared" si="8"/>
        <v>M0112-A-164-1</v>
      </c>
      <c r="H581" s="17">
        <v>243.71</v>
      </c>
      <c r="I581" s="17">
        <v>244.51</v>
      </c>
    </row>
    <row r="582" spans="1:9">
      <c r="A582" s="17">
        <v>501</v>
      </c>
      <c r="B582" s="17" t="s">
        <v>104</v>
      </c>
      <c r="C582" s="17" t="s">
        <v>92</v>
      </c>
      <c r="D582" s="17">
        <v>164</v>
      </c>
      <c r="E582" s="17" t="s">
        <v>95</v>
      </c>
      <c r="F582" s="17">
        <v>2</v>
      </c>
      <c r="G582" s="17" t="str">
        <f t="shared" si="8"/>
        <v>M0112-A-164-2</v>
      </c>
      <c r="H582" s="17">
        <v>244.51</v>
      </c>
      <c r="I582" s="17">
        <v>245.09</v>
      </c>
    </row>
    <row r="583" spans="1:9">
      <c r="A583" s="17">
        <v>501</v>
      </c>
      <c r="B583" s="17" t="s">
        <v>104</v>
      </c>
      <c r="C583" s="17" t="s">
        <v>92</v>
      </c>
      <c r="D583" s="17">
        <v>165</v>
      </c>
      <c r="E583" s="17" t="s">
        <v>95</v>
      </c>
      <c r="F583" s="17">
        <v>1</v>
      </c>
      <c r="G583" s="17" t="str">
        <f t="shared" si="8"/>
        <v>M0112-A-165-1</v>
      </c>
      <c r="H583" s="17">
        <v>245.21</v>
      </c>
      <c r="I583" s="17">
        <v>246.71</v>
      </c>
    </row>
    <row r="584" spans="1:9">
      <c r="A584" s="17">
        <v>501</v>
      </c>
      <c r="B584" s="17" t="s">
        <v>104</v>
      </c>
      <c r="C584" s="17" t="s">
        <v>92</v>
      </c>
      <c r="D584" s="17">
        <v>165</v>
      </c>
      <c r="E584" s="17" t="s">
        <v>95</v>
      </c>
      <c r="F584" s="17">
        <v>2</v>
      </c>
      <c r="G584" s="17" t="str">
        <f t="shared" si="8"/>
        <v>M0112-A-165-2</v>
      </c>
      <c r="H584" s="17">
        <v>246.71</v>
      </c>
      <c r="I584" s="17">
        <v>247.73</v>
      </c>
    </row>
    <row r="585" spans="1:9">
      <c r="A585" s="17">
        <v>501</v>
      </c>
      <c r="B585" s="17" t="s">
        <v>104</v>
      </c>
      <c r="C585" s="17" t="s">
        <v>92</v>
      </c>
      <c r="D585" s="17">
        <v>166</v>
      </c>
      <c r="E585" s="17" t="s">
        <v>95</v>
      </c>
      <c r="F585" s="17">
        <v>1</v>
      </c>
      <c r="G585" s="17" t="str">
        <f t="shared" si="8"/>
        <v>M0112-A-166-1</v>
      </c>
      <c r="H585" s="17">
        <v>247.56</v>
      </c>
      <c r="I585" s="17">
        <v>248.11</v>
      </c>
    </row>
    <row r="586" spans="1:9">
      <c r="A586" s="17">
        <v>501</v>
      </c>
      <c r="B586" s="17" t="s">
        <v>104</v>
      </c>
      <c r="C586" s="17" t="s">
        <v>92</v>
      </c>
      <c r="D586" s="17">
        <v>167</v>
      </c>
      <c r="E586" s="17" t="s">
        <v>93</v>
      </c>
      <c r="F586" s="17">
        <v>1</v>
      </c>
      <c r="G586" s="17" t="str">
        <f t="shared" si="8"/>
        <v>M0112-A-167-1</v>
      </c>
      <c r="H586" s="17">
        <v>248.81</v>
      </c>
      <c r="I586" s="17">
        <v>250.31</v>
      </c>
    </row>
    <row r="587" spans="1:9">
      <c r="A587" s="17">
        <v>501</v>
      </c>
      <c r="B587" s="17" t="s">
        <v>104</v>
      </c>
      <c r="C587" s="17" t="s">
        <v>92</v>
      </c>
      <c r="D587" s="17">
        <v>167</v>
      </c>
      <c r="E587" s="17" t="s">
        <v>93</v>
      </c>
      <c r="F587" s="17">
        <v>2</v>
      </c>
      <c r="G587" s="17" t="str">
        <f t="shared" si="8"/>
        <v>M0112-A-167-2</v>
      </c>
      <c r="H587" s="17">
        <v>250.31</v>
      </c>
      <c r="I587" s="17">
        <v>251.64</v>
      </c>
    </row>
    <row r="588" spans="1:9">
      <c r="A588" s="17">
        <v>501</v>
      </c>
      <c r="B588" s="17" t="s">
        <v>104</v>
      </c>
      <c r="C588" s="17" t="s">
        <v>92</v>
      </c>
      <c r="D588" s="17">
        <v>168</v>
      </c>
      <c r="E588" s="17" t="s">
        <v>93</v>
      </c>
      <c r="F588" s="17">
        <v>1</v>
      </c>
      <c r="G588" s="17" t="str">
        <f t="shared" si="8"/>
        <v>M0112-A-168-1</v>
      </c>
      <c r="H588" s="17">
        <v>251.64</v>
      </c>
      <c r="I588" s="17">
        <v>253.14</v>
      </c>
    </row>
    <row r="589" spans="1:9">
      <c r="A589" s="17">
        <v>501</v>
      </c>
      <c r="B589" s="17" t="s">
        <v>104</v>
      </c>
      <c r="C589" s="17" t="s">
        <v>92</v>
      </c>
      <c r="D589" s="17">
        <v>168</v>
      </c>
      <c r="E589" s="17" t="s">
        <v>93</v>
      </c>
      <c r="F589" s="17">
        <v>2</v>
      </c>
      <c r="G589" s="17" t="str">
        <f t="shared" si="8"/>
        <v>M0112-A-168-2</v>
      </c>
      <c r="H589" s="17">
        <v>253.14</v>
      </c>
      <c r="I589" s="17">
        <v>254.06</v>
      </c>
    </row>
    <row r="590" spans="1:9">
      <c r="A590" s="17">
        <v>501</v>
      </c>
      <c r="B590" s="17" t="s">
        <v>104</v>
      </c>
      <c r="C590" s="17" t="s">
        <v>92</v>
      </c>
      <c r="D590" s="17">
        <v>169</v>
      </c>
      <c r="E590" s="17" t="s">
        <v>93</v>
      </c>
      <c r="F590" s="17">
        <v>1</v>
      </c>
      <c r="G590" s="17" t="str">
        <f t="shared" si="8"/>
        <v>M0112-A-169-1</v>
      </c>
      <c r="H590" s="17">
        <v>254.06</v>
      </c>
      <c r="I590" s="17">
        <v>255.56</v>
      </c>
    </row>
    <row r="591" spans="1:9">
      <c r="A591" s="17">
        <v>501</v>
      </c>
      <c r="B591" s="17" t="s">
        <v>104</v>
      </c>
      <c r="C591" s="17" t="s">
        <v>92</v>
      </c>
      <c r="D591" s="17">
        <v>169</v>
      </c>
      <c r="E591" s="17" t="s">
        <v>93</v>
      </c>
      <c r="F591" s="17">
        <v>2</v>
      </c>
      <c r="G591" s="17" t="str">
        <f t="shared" si="8"/>
        <v>M0112-A-169-2</v>
      </c>
      <c r="H591" s="17">
        <v>255.56</v>
      </c>
      <c r="I591" s="17">
        <v>257.02</v>
      </c>
    </row>
    <row r="592" spans="1:9">
      <c r="A592" s="17">
        <v>501</v>
      </c>
      <c r="B592" s="17" t="s">
        <v>104</v>
      </c>
      <c r="C592" s="17" t="s">
        <v>92</v>
      </c>
      <c r="D592" s="17">
        <v>170</v>
      </c>
      <c r="E592" s="17" t="s">
        <v>93</v>
      </c>
      <c r="F592" s="17">
        <v>1</v>
      </c>
      <c r="G592" s="17" t="str">
        <f t="shared" si="8"/>
        <v>M0112-A-170-1</v>
      </c>
      <c r="H592" s="17">
        <v>257.02</v>
      </c>
      <c r="I592" s="17">
        <v>258.52</v>
      </c>
    </row>
    <row r="593" spans="1:9">
      <c r="A593" s="17">
        <v>501</v>
      </c>
      <c r="B593" s="17" t="s">
        <v>104</v>
      </c>
      <c r="C593" s="17" t="s">
        <v>92</v>
      </c>
      <c r="D593" s="17">
        <v>170</v>
      </c>
      <c r="E593" s="17" t="s">
        <v>93</v>
      </c>
      <c r="F593" s="17">
        <v>2</v>
      </c>
      <c r="G593" s="17" t="str">
        <f t="shared" si="8"/>
        <v>M0112-A-170-2</v>
      </c>
      <c r="H593" s="17">
        <v>258.52</v>
      </c>
      <c r="I593" s="17">
        <v>259.52</v>
      </c>
    </row>
    <row r="594" spans="1:9">
      <c r="A594" s="17">
        <v>501</v>
      </c>
      <c r="B594" s="17" t="s">
        <v>104</v>
      </c>
      <c r="C594" s="17" t="s">
        <v>92</v>
      </c>
      <c r="D594" s="17">
        <v>171</v>
      </c>
      <c r="E594" s="17" t="s">
        <v>93</v>
      </c>
      <c r="F594" s="17">
        <v>1</v>
      </c>
      <c r="G594" s="17" t="str">
        <f t="shared" si="8"/>
        <v>M0112-A-171-1</v>
      </c>
      <c r="H594" s="17">
        <v>259.52</v>
      </c>
      <c r="I594" s="17">
        <v>261.01</v>
      </c>
    </row>
    <row r="595" spans="1:9">
      <c r="A595" s="17">
        <v>501</v>
      </c>
      <c r="B595" s="17" t="s">
        <v>104</v>
      </c>
      <c r="C595" s="17" t="s">
        <v>92</v>
      </c>
      <c r="D595" s="17">
        <v>171</v>
      </c>
      <c r="E595" s="17" t="s">
        <v>93</v>
      </c>
      <c r="F595" s="17">
        <v>2</v>
      </c>
      <c r="G595" s="17" t="str">
        <f t="shared" si="8"/>
        <v>M0112-A-171-2</v>
      </c>
      <c r="H595" s="17">
        <v>261.01</v>
      </c>
      <c r="I595" s="17">
        <v>261.82</v>
      </c>
    </row>
    <row r="596" spans="1:9">
      <c r="A596" s="17">
        <v>501</v>
      </c>
      <c r="B596" s="17" t="s">
        <v>104</v>
      </c>
      <c r="C596" s="17" t="s">
        <v>92</v>
      </c>
      <c r="D596" s="17">
        <v>172</v>
      </c>
      <c r="E596" s="17" t="s">
        <v>93</v>
      </c>
      <c r="F596" s="17">
        <v>1</v>
      </c>
      <c r="G596" s="17" t="str">
        <f t="shared" si="8"/>
        <v>M0112-A-172-1</v>
      </c>
      <c r="H596" s="17">
        <v>261.82</v>
      </c>
      <c r="I596" s="17">
        <v>263.31</v>
      </c>
    </row>
    <row r="597" spans="1:9">
      <c r="A597" s="17">
        <v>501</v>
      </c>
      <c r="B597" s="17" t="s">
        <v>104</v>
      </c>
      <c r="C597" s="17" t="s">
        <v>92</v>
      </c>
      <c r="D597" s="17">
        <v>172</v>
      </c>
      <c r="E597" s="17" t="s">
        <v>93</v>
      </c>
      <c r="F597" s="17">
        <v>2</v>
      </c>
      <c r="G597" s="17" t="str">
        <f t="shared" si="8"/>
        <v>M0112-A-172-2</v>
      </c>
      <c r="H597" s="17">
        <v>263.31</v>
      </c>
      <c r="I597" s="17">
        <v>263.86</v>
      </c>
    </row>
    <row r="598" spans="1:9">
      <c r="A598" s="17">
        <v>501</v>
      </c>
      <c r="B598" s="17" t="s">
        <v>104</v>
      </c>
      <c r="C598" s="17" t="s">
        <v>92</v>
      </c>
      <c r="D598" s="17">
        <v>173</v>
      </c>
      <c r="E598" s="17" t="s">
        <v>93</v>
      </c>
      <c r="F598" s="17">
        <v>1</v>
      </c>
      <c r="G598" s="17" t="str">
        <f t="shared" si="8"/>
        <v>M0112-A-173-1</v>
      </c>
      <c r="H598" s="17">
        <v>263.86</v>
      </c>
      <c r="I598" s="17">
        <v>264.7</v>
      </c>
    </row>
    <row r="599" spans="1:9">
      <c r="A599" s="17">
        <v>501</v>
      </c>
      <c r="B599" s="17" t="s">
        <v>104</v>
      </c>
      <c r="C599" s="17" t="s">
        <v>92</v>
      </c>
      <c r="D599" s="17">
        <v>174</v>
      </c>
      <c r="E599" s="17" t="s">
        <v>93</v>
      </c>
      <c r="F599" s="17">
        <v>1</v>
      </c>
      <c r="G599" s="17" t="str">
        <f t="shared" si="8"/>
        <v>M0112-A-174-1</v>
      </c>
      <c r="H599" s="17">
        <v>264.7</v>
      </c>
      <c r="I599" s="17">
        <v>265.25</v>
      </c>
    </row>
    <row r="600" spans="1:9">
      <c r="A600" s="17">
        <v>501</v>
      </c>
      <c r="B600" s="17" t="s">
        <v>104</v>
      </c>
      <c r="C600" s="17" t="s">
        <v>92</v>
      </c>
      <c r="D600" s="17">
        <v>174</v>
      </c>
      <c r="E600" s="17" t="s">
        <v>93</v>
      </c>
      <c r="F600" s="17">
        <v>2</v>
      </c>
      <c r="G600" s="17" t="str">
        <f t="shared" si="8"/>
        <v>M0112-A-174-2</v>
      </c>
      <c r="H600" s="17">
        <v>265.25</v>
      </c>
      <c r="I600" s="17">
        <v>266.43</v>
      </c>
    </row>
    <row r="601" spans="1:9">
      <c r="A601" s="17">
        <v>501</v>
      </c>
      <c r="B601" s="17" t="s">
        <v>104</v>
      </c>
      <c r="C601" s="17" t="s">
        <v>92</v>
      </c>
      <c r="D601" s="17">
        <v>175</v>
      </c>
      <c r="E601" s="17" t="s">
        <v>93</v>
      </c>
      <c r="F601" s="17">
        <v>1</v>
      </c>
      <c r="G601" s="17" t="str">
        <f t="shared" si="8"/>
        <v>M0112-A-175-1</v>
      </c>
      <c r="H601" s="17">
        <v>266.43</v>
      </c>
      <c r="I601" s="17">
        <v>267.92</v>
      </c>
    </row>
    <row r="602" spans="1:9">
      <c r="A602" s="17">
        <v>501</v>
      </c>
      <c r="B602" s="17" t="s">
        <v>104</v>
      </c>
      <c r="C602" s="17" t="s">
        <v>92</v>
      </c>
      <c r="D602" s="17">
        <v>175</v>
      </c>
      <c r="E602" s="17" t="s">
        <v>93</v>
      </c>
      <c r="F602" s="17">
        <v>2</v>
      </c>
      <c r="G602" s="17" t="str">
        <f t="shared" si="8"/>
        <v>M0112-A-175-2</v>
      </c>
      <c r="H602" s="17">
        <v>267.92</v>
      </c>
      <c r="I602" s="17">
        <v>269.33999999999997</v>
      </c>
    </row>
    <row r="603" spans="1:9">
      <c r="A603" s="17">
        <v>501</v>
      </c>
      <c r="B603" s="17" t="s">
        <v>104</v>
      </c>
      <c r="C603" s="17" t="s">
        <v>92</v>
      </c>
      <c r="D603" s="17">
        <v>176</v>
      </c>
      <c r="E603" s="17" t="s">
        <v>93</v>
      </c>
      <c r="F603" s="17">
        <v>1</v>
      </c>
      <c r="G603" s="17" t="str">
        <f t="shared" si="8"/>
        <v>M0112-A-176-1</v>
      </c>
      <c r="H603" s="17">
        <v>269.33999999999997</v>
      </c>
      <c r="I603" s="17">
        <v>269.58999999999997</v>
      </c>
    </row>
    <row r="604" spans="1:9">
      <c r="A604" s="17">
        <v>501</v>
      </c>
      <c r="B604" s="17" t="s">
        <v>104</v>
      </c>
      <c r="C604" s="17" t="s">
        <v>92</v>
      </c>
      <c r="D604" s="17">
        <v>176</v>
      </c>
      <c r="E604" s="17" t="s">
        <v>93</v>
      </c>
      <c r="F604" s="17">
        <v>2</v>
      </c>
      <c r="G604" s="17" t="str">
        <f t="shared" si="8"/>
        <v>M0112-A-176-2</v>
      </c>
      <c r="H604" s="17">
        <v>269.58999999999997</v>
      </c>
      <c r="I604" s="17">
        <v>270.54000000000002</v>
      </c>
    </row>
    <row r="605" spans="1:9">
      <c r="A605" s="17">
        <v>501</v>
      </c>
      <c r="B605" s="17" t="s">
        <v>104</v>
      </c>
      <c r="C605" s="17" t="s">
        <v>92</v>
      </c>
      <c r="D605" s="17">
        <v>177</v>
      </c>
      <c r="E605" s="17" t="s">
        <v>93</v>
      </c>
      <c r="F605" s="17">
        <v>1</v>
      </c>
      <c r="G605" s="17" t="str">
        <f t="shared" si="8"/>
        <v>M0112-A-177-1</v>
      </c>
      <c r="H605" s="17">
        <v>270.54000000000002</v>
      </c>
      <c r="I605" s="17">
        <v>270.68</v>
      </c>
    </row>
    <row r="606" spans="1:9">
      <c r="A606" s="17">
        <v>501</v>
      </c>
      <c r="B606" s="17" t="s">
        <v>104</v>
      </c>
      <c r="C606" s="17" t="s">
        <v>92</v>
      </c>
      <c r="D606" s="17">
        <v>177</v>
      </c>
      <c r="E606" s="17" t="s">
        <v>93</v>
      </c>
      <c r="F606" s="17">
        <v>2</v>
      </c>
      <c r="G606" s="17" t="str">
        <f t="shared" si="8"/>
        <v>M0112-A-177-2</v>
      </c>
      <c r="H606" s="17">
        <v>270.68</v>
      </c>
      <c r="I606" s="17">
        <v>272.18</v>
      </c>
    </row>
    <row r="607" spans="1:9">
      <c r="A607" s="17">
        <v>501</v>
      </c>
      <c r="B607" s="17" t="s">
        <v>104</v>
      </c>
      <c r="C607" s="17" t="s">
        <v>92</v>
      </c>
      <c r="D607" s="17">
        <v>177</v>
      </c>
      <c r="E607" s="17" t="s">
        <v>93</v>
      </c>
      <c r="F607" s="17">
        <v>3</v>
      </c>
      <c r="G607" s="17" t="str">
        <f t="shared" si="8"/>
        <v>M0112-A-177-3</v>
      </c>
      <c r="H607" s="17">
        <v>272.18</v>
      </c>
      <c r="I607" s="17">
        <v>273.35000000000002</v>
      </c>
    </row>
    <row r="608" spans="1:9">
      <c r="A608" s="17">
        <v>501</v>
      </c>
      <c r="B608" s="17" t="s">
        <v>104</v>
      </c>
      <c r="C608" s="17" t="s">
        <v>92</v>
      </c>
      <c r="D608" s="17">
        <v>178</v>
      </c>
      <c r="E608" s="17" t="s">
        <v>93</v>
      </c>
      <c r="F608" s="17">
        <v>1</v>
      </c>
      <c r="G608" s="17" t="str">
        <f t="shared" si="8"/>
        <v>M0112-A-178-1</v>
      </c>
      <c r="H608" s="17">
        <v>273.35000000000002</v>
      </c>
      <c r="I608" s="17">
        <v>274.83999999999997</v>
      </c>
    </row>
    <row r="609" spans="1:9">
      <c r="A609" s="17">
        <v>501</v>
      </c>
      <c r="B609" s="17" t="s">
        <v>104</v>
      </c>
      <c r="C609" s="17" t="s">
        <v>92</v>
      </c>
      <c r="D609" s="17">
        <v>178</v>
      </c>
      <c r="E609" s="17" t="s">
        <v>93</v>
      </c>
      <c r="F609" s="17">
        <v>2</v>
      </c>
      <c r="G609" s="17" t="str">
        <f t="shared" si="8"/>
        <v>M0112-A-178-2</v>
      </c>
      <c r="H609" s="17">
        <v>274.83999999999997</v>
      </c>
      <c r="I609" s="17">
        <v>275.93</v>
      </c>
    </row>
    <row r="610" spans="1:9">
      <c r="A610" s="17">
        <v>501</v>
      </c>
      <c r="B610" s="17" t="s">
        <v>104</v>
      </c>
      <c r="C610" s="17" t="s">
        <v>92</v>
      </c>
      <c r="D610" s="17">
        <v>179</v>
      </c>
      <c r="E610" s="17" t="s">
        <v>93</v>
      </c>
      <c r="F610" s="17">
        <v>1</v>
      </c>
      <c r="G610" s="17" t="str">
        <f t="shared" si="8"/>
        <v>M0112-A-179-1</v>
      </c>
      <c r="H610" s="17">
        <v>275.93</v>
      </c>
      <c r="I610" s="17">
        <v>276.93</v>
      </c>
    </row>
    <row r="611" spans="1:9">
      <c r="A611" s="17">
        <v>501</v>
      </c>
      <c r="B611" s="17" t="s">
        <v>104</v>
      </c>
      <c r="C611" s="17" t="s">
        <v>92</v>
      </c>
      <c r="D611" s="17">
        <v>179</v>
      </c>
      <c r="E611" s="17" t="s">
        <v>93</v>
      </c>
      <c r="F611" s="17">
        <v>2</v>
      </c>
      <c r="G611" s="17" t="str">
        <f t="shared" si="8"/>
        <v>M0112-A-179-2</v>
      </c>
      <c r="H611" s="17">
        <v>276.93</v>
      </c>
      <c r="I611" s="17">
        <v>277.74</v>
      </c>
    </row>
    <row r="612" spans="1:9">
      <c r="A612" s="17">
        <v>501</v>
      </c>
      <c r="B612" s="17" t="s">
        <v>104</v>
      </c>
      <c r="C612" s="17" t="s">
        <v>92</v>
      </c>
      <c r="D612" s="17">
        <v>180</v>
      </c>
      <c r="E612" s="17" t="s">
        <v>93</v>
      </c>
      <c r="F612" s="17">
        <v>1</v>
      </c>
      <c r="G612" s="17" t="str">
        <f t="shared" si="8"/>
        <v>M0112-A-180-1</v>
      </c>
      <c r="H612" s="17">
        <v>277.74</v>
      </c>
      <c r="I612" s="17">
        <v>278.24</v>
      </c>
    </row>
    <row r="613" spans="1:9">
      <c r="A613" s="17">
        <v>501</v>
      </c>
      <c r="B613" s="17" t="s">
        <v>104</v>
      </c>
      <c r="C613" s="17" t="s">
        <v>92</v>
      </c>
      <c r="D613" s="17">
        <v>181</v>
      </c>
      <c r="E613" s="17" t="s">
        <v>95</v>
      </c>
      <c r="F613" s="17">
        <v>1</v>
      </c>
      <c r="G613" s="17" t="str">
        <f t="shared" si="8"/>
        <v>M0112-A-181-1</v>
      </c>
      <c r="H613" s="17">
        <v>278.24</v>
      </c>
      <c r="I613" s="17">
        <v>278.45</v>
      </c>
    </row>
    <row r="614" spans="1:9">
      <c r="A614" s="17">
        <v>501</v>
      </c>
      <c r="B614" s="17" t="s">
        <v>104</v>
      </c>
      <c r="C614" s="17" t="s">
        <v>92</v>
      </c>
      <c r="D614" s="17">
        <v>182</v>
      </c>
      <c r="E614" s="17" t="s">
        <v>95</v>
      </c>
      <c r="F614" s="17">
        <v>1</v>
      </c>
      <c r="G614" s="17" t="str">
        <f t="shared" si="8"/>
        <v>M0112-A-182-1</v>
      </c>
      <c r="H614" s="17">
        <v>279.74</v>
      </c>
      <c r="I614" s="17">
        <v>279.87</v>
      </c>
    </row>
    <row r="615" spans="1:9">
      <c r="A615" s="17">
        <v>501</v>
      </c>
      <c r="B615" s="17" t="s">
        <v>104</v>
      </c>
      <c r="C615" s="17" t="s">
        <v>92</v>
      </c>
      <c r="D615" s="17">
        <v>183</v>
      </c>
      <c r="E615" s="17" t="s">
        <v>95</v>
      </c>
      <c r="F615" s="17">
        <v>1</v>
      </c>
      <c r="G615" s="17" t="str">
        <f t="shared" si="8"/>
        <v>M0112-A-183-1</v>
      </c>
      <c r="H615" s="17">
        <v>281.20999999999998</v>
      </c>
      <c r="I615" s="17">
        <v>281.29000000000002</v>
      </c>
    </row>
    <row r="616" spans="1:9">
      <c r="A616" s="17">
        <v>501</v>
      </c>
      <c r="B616" s="17" t="s">
        <v>104</v>
      </c>
      <c r="C616" s="17" t="s">
        <v>92</v>
      </c>
      <c r="D616" s="17">
        <v>185</v>
      </c>
      <c r="E616" s="17" t="s">
        <v>95</v>
      </c>
      <c r="F616" s="17">
        <v>1</v>
      </c>
      <c r="G616" s="17" t="str">
        <f t="shared" si="8"/>
        <v>M0112-A-185-1</v>
      </c>
      <c r="H616" s="17">
        <v>284.20999999999998</v>
      </c>
      <c r="I616" s="17">
        <v>285.36</v>
      </c>
    </row>
    <row r="617" spans="1:9">
      <c r="A617" s="17">
        <v>501</v>
      </c>
      <c r="B617" s="17" t="s">
        <v>104</v>
      </c>
      <c r="C617" s="17" t="s">
        <v>92</v>
      </c>
      <c r="D617" s="17">
        <v>185</v>
      </c>
      <c r="E617" s="17" t="s">
        <v>95</v>
      </c>
      <c r="F617" s="17">
        <v>2</v>
      </c>
      <c r="G617" s="17" t="str">
        <f t="shared" si="8"/>
        <v>M0112-A-185-2</v>
      </c>
      <c r="H617" s="17">
        <v>285.36</v>
      </c>
      <c r="I617" s="17">
        <v>285.95999999999998</v>
      </c>
    </row>
    <row r="618" spans="1:9">
      <c r="A618" s="17">
        <v>501</v>
      </c>
      <c r="B618" s="17" t="s">
        <v>104</v>
      </c>
      <c r="C618" s="17" t="s">
        <v>92</v>
      </c>
      <c r="D618" s="17">
        <v>186</v>
      </c>
      <c r="E618" s="17" t="s">
        <v>95</v>
      </c>
      <c r="F618" s="17">
        <v>1</v>
      </c>
      <c r="G618" s="17" t="str">
        <f t="shared" si="8"/>
        <v>M0112-A-186-1</v>
      </c>
      <c r="H618" s="17">
        <v>286.20999999999998</v>
      </c>
      <c r="I618" s="17">
        <v>286.81</v>
      </c>
    </row>
    <row r="619" spans="1:9">
      <c r="A619" s="17">
        <v>501</v>
      </c>
      <c r="B619" s="17" t="s">
        <v>104</v>
      </c>
      <c r="C619" s="17" t="s">
        <v>92</v>
      </c>
      <c r="D619" s="17">
        <v>187</v>
      </c>
      <c r="E619" s="17" t="s">
        <v>95</v>
      </c>
      <c r="F619" s="17">
        <v>1</v>
      </c>
      <c r="G619" s="17" t="str">
        <f t="shared" si="8"/>
        <v>M0112-A-187-1</v>
      </c>
      <c r="H619" s="17">
        <v>288.20999999999998</v>
      </c>
      <c r="I619" s="17">
        <v>288.35000000000002</v>
      </c>
    </row>
    <row r="620" spans="1:9">
      <c r="A620" s="17">
        <v>501</v>
      </c>
      <c r="B620" s="17" t="s">
        <v>104</v>
      </c>
      <c r="C620" s="17" t="s">
        <v>92</v>
      </c>
      <c r="D620" s="17">
        <v>189</v>
      </c>
      <c r="E620" s="17" t="s">
        <v>95</v>
      </c>
      <c r="F620" s="17">
        <v>1</v>
      </c>
      <c r="G620" s="17" t="str">
        <f t="shared" si="8"/>
        <v>M0112-A-189-1</v>
      </c>
      <c r="H620" s="17">
        <v>290.20999999999998</v>
      </c>
      <c r="I620" s="17">
        <v>290.88</v>
      </c>
    </row>
    <row r="621" spans="1:9">
      <c r="A621" s="17">
        <v>501</v>
      </c>
      <c r="B621" s="17" t="s">
        <v>104</v>
      </c>
      <c r="C621" s="17" t="s">
        <v>92</v>
      </c>
      <c r="D621" s="17">
        <v>190</v>
      </c>
      <c r="E621" s="17" t="s">
        <v>95</v>
      </c>
      <c r="F621" s="17">
        <v>1</v>
      </c>
      <c r="G621" s="17" t="str">
        <f t="shared" si="8"/>
        <v>M0112-A-190-1</v>
      </c>
      <c r="H621" s="17">
        <v>291.20999999999998</v>
      </c>
      <c r="I621" s="17">
        <v>291.36</v>
      </c>
    </row>
    <row r="622" spans="1:9">
      <c r="A622" s="17">
        <v>501</v>
      </c>
      <c r="B622" s="17" t="s">
        <v>104</v>
      </c>
      <c r="C622" s="17" t="s">
        <v>92</v>
      </c>
      <c r="D622" s="17">
        <v>191</v>
      </c>
      <c r="E622" s="17" t="s">
        <v>95</v>
      </c>
      <c r="F622" s="17">
        <v>1</v>
      </c>
      <c r="G622" s="17" t="str">
        <f t="shared" si="8"/>
        <v>M0112-A-191-1</v>
      </c>
      <c r="H622" s="17">
        <v>292.20999999999998</v>
      </c>
      <c r="I622" s="17">
        <v>292.35000000000002</v>
      </c>
    </row>
    <row r="623" spans="1:9">
      <c r="A623" s="17">
        <v>501</v>
      </c>
      <c r="B623" s="17" t="s">
        <v>104</v>
      </c>
      <c r="C623" s="17" t="s">
        <v>92</v>
      </c>
      <c r="D623" s="17">
        <v>194</v>
      </c>
      <c r="E623" s="17" t="s">
        <v>95</v>
      </c>
      <c r="F623" s="17">
        <v>1</v>
      </c>
      <c r="G623" s="17" t="str">
        <f t="shared" si="8"/>
        <v>M0112-A-194-1</v>
      </c>
      <c r="H623" s="17">
        <v>294.41000000000003</v>
      </c>
      <c r="I623" s="17">
        <v>294.43</v>
      </c>
    </row>
    <row r="624" spans="1:9">
      <c r="A624" s="17">
        <v>501</v>
      </c>
      <c r="B624" s="17" t="s">
        <v>104</v>
      </c>
      <c r="C624" s="17" t="s">
        <v>92</v>
      </c>
      <c r="D624" s="17">
        <v>195</v>
      </c>
      <c r="E624" s="17" t="s">
        <v>95</v>
      </c>
      <c r="F624" s="17">
        <v>1</v>
      </c>
      <c r="G624" s="17" t="str">
        <f t="shared" si="8"/>
        <v>M0112-A-195-1</v>
      </c>
      <c r="H624" s="17">
        <v>295.41000000000003</v>
      </c>
      <c r="I624" s="17">
        <v>295.7</v>
      </c>
    </row>
    <row r="625" spans="1:9">
      <c r="A625" s="17">
        <v>501</v>
      </c>
      <c r="B625" s="17" t="s">
        <v>104</v>
      </c>
      <c r="C625" s="17" t="s">
        <v>92</v>
      </c>
      <c r="D625" s="17">
        <v>196</v>
      </c>
      <c r="E625" s="17" t="s">
        <v>95</v>
      </c>
      <c r="F625" s="17">
        <v>1</v>
      </c>
      <c r="G625" s="17" t="str">
        <f t="shared" si="8"/>
        <v>M0112-A-196-1</v>
      </c>
      <c r="H625" s="17">
        <v>295.66000000000003</v>
      </c>
      <c r="I625" s="17">
        <v>296.5</v>
      </c>
    </row>
    <row r="626" spans="1:9">
      <c r="A626" s="17">
        <v>501</v>
      </c>
      <c r="B626" s="17" t="s">
        <v>104</v>
      </c>
      <c r="C626" s="17" t="s">
        <v>92</v>
      </c>
      <c r="D626" s="17">
        <v>197</v>
      </c>
      <c r="E626" s="17" t="s">
        <v>95</v>
      </c>
      <c r="F626" s="17">
        <v>1</v>
      </c>
      <c r="G626" s="17" t="str">
        <f t="shared" si="8"/>
        <v>M0112-A-197-1</v>
      </c>
      <c r="H626" s="17">
        <v>297.20999999999998</v>
      </c>
      <c r="I626" s="17">
        <v>298.16000000000003</v>
      </c>
    </row>
    <row r="627" spans="1:9">
      <c r="A627" s="17">
        <v>501</v>
      </c>
      <c r="B627" s="17" t="s">
        <v>104</v>
      </c>
      <c r="C627" s="17" t="s">
        <v>92</v>
      </c>
      <c r="D627" s="17">
        <v>198</v>
      </c>
      <c r="E627" s="17" t="s">
        <v>95</v>
      </c>
      <c r="F627" s="17">
        <v>1</v>
      </c>
      <c r="G627" s="17" t="str">
        <f t="shared" si="8"/>
        <v>M0112-A-198-1</v>
      </c>
      <c r="H627" s="17">
        <v>298.20999999999998</v>
      </c>
      <c r="I627" s="17">
        <v>299.20999999999998</v>
      </c>
    </row>
    <row r="628" spans="1:9">
      <c r="A628" s="17">
        <v>501</v>
      </c>
      <c r="B628" s="17" t="s">
        <v>104</v>
      </c>
      <c r="C628" s="17" t="s">
        <v>92</v>
      </c>
      <c r="D628" s="17">
        <v>199</v>
      </c>
      <c r="E628" s="17" t="s">
        <v>95</v>
      </c>
      <c r="F628" s="17">
        <v>1</v>
      </c>
      <c r="G628" s="17" t="str">
        <f t="shared" si="8"/>
        <v>M0112-A-199-1</v>
      </c>
      <c r="H628" s="17">
        <v>299.20999999999998</v>
      </c>
      <c r="I628" s="17">
        <v>299.51</v>
      </c>
    </row>
    <row r="629" spans="1:9">
      <c r="A629" s="17">
        <v>501</v>
      </c>
      <c r="B629" s="17" t="s">
        <v>104</v>
      </c>
      <c r="C629" s="17" t="s">
        <v>92</v>
      </c>
      <c r="D629" s="17">
        <v>200</v>
      </c>
      <c r="E629" s="17" t="s">
        <v>95</v>
      </c>
      <c r="F629" s="17">
        <v>1</v>
      </c>
      <c r="G629" s="17" t="str">
        <f t="shared" si="8"/>
        <v>M0112-A-200-1</v>
      </c>
      <c r="H629" s="17">
        <v>300.20999999999998</v>
      </c>
      <c r="I629" s="17">
        <v>300.68</v>
      </c>
    </row>
    <row r="630" spans="1:9">
      <c r="A630" s="17">
        <v>501</v>
      </c>
      <c r="B630" s="17" t="s">
        <v>104</v>
      </c>
      <c r="C630" s="17" t="s">
        <v>92</v>
      </c>
      <c r="D630" s="17">
        <v>201</v>
      </c>
      <c r="E630" s="17" t="s">
        <v>95</v>
      </c>
      <c r="F630" s="17">
        <v>1</v>
      </c>
      <c r="G630" s="17" t="str">
        <f t="shared" si="8"/>
        <v>M0112-A-201-1</v>
      </c>
      <c r="H630" s="17">
        <v>301.20999999999998</v>
      </c>
      <c r="I630" s="17">
        <v>301.27999999999997</v>
      </c>
    </row>
    <row r="631" spans="1:9">
      <c r="A631" s="17">
        <v>501</v>
      </c>
      <c r="B631" s="17" t="s">
        <v>104</v>
      </c>
      <c r="C631" s="17" t="s">
        <v>92</v>
      </c>
      <c r="D631" s="17">
        <v>202</v>
      </c>
      <c r="E631" s="17" t="s">
        <v>95</v>
      </c>
      <c r="F631" s="17">
        <v>1</v>
      </c>
      <c r="G631" s="17" t="str">
        <f t="shared" si="8"/>
        <v>M0112-A-202-1</v>
      </c>
      <c r="H631" s="17">
        <v>302.20999999999998</v>
      </c>
      <c r="I631" s="17">
        <v>302.25</v>
      </c>
    </row>
    <row r="632" spans="1:9">
      <c r="A632" s="17">
        <v>501</v>
      </c>
      <c r="B632" s="17" t="s">
        <v>104</v>
      </c>
      <c r="C632" s="17" t="s">
        <v>92</v>
      </c>
      <c r="D632" s="17">
        <v>204</v>
      </c>
      <c r="E632" s="17" t="s">
        <v>95</v>
      </c>
      <c r="F632" s="17">
        <v>1</v>
      </c>
      <c r="G632" s="17" t="str">
        <f t="shared" ref="G632:G695" si="9">CONCATENATE(B632, "-",C632, "-", D632, "-", F632)</f>
        <v>M0112-A-204-1</v>
      </c>
      <c r="H632" s="17">
        <v>304.20999999999998</v>
      </c>
      <c r="I632" s="17">
        <v>305.75</v>
      </c>
    </row>
    <row r="633" spans="1:9">
      <c r="A633" s="17">
        <v>501</v>
      </c>
      <c r="B633" s="17" t="s">
        <v>104</v>
      </c>
      <c r="C633" s="17" t="s">
        <v>92</v>
      </c>
      <c r="D633" s="17">
        <v>205</v>
      </c>
      <c r="E633" s="17" t="s">
        <v>95</v>
      </c>
      <c r="F633" s="17">
        <v>1</v>
      </c>
      <c r="G633" s="17" t="str">
        <f t="shared" si="9"/>
        <v>M0112-A-205-1</v>
      </c>
      <c r="H633" s="17">
        <v>305.20999999999998</v>
      </c>
      <c r="I633" s="17">
        <v>306.14999999999998</v>
      </c>
    </row>
    <row r="634" spans="1:9">
      <c r="A634" s="17">
        <v>501</v>
      </c>
      <c r="B634" s="17" t="s">
        <v>104</v>
      </c>
      <c r="C634" s="17" t="s">
        <v>92</v>
      </c>
      <c r="D634" s="17">
        <v>206</v>
      </c>
      <c r="E634" s="17" t="s">
        <v>95</v>
      </c>
      <c r="F634" s="17">
        <v>1</v>
      </c>
      <c r="G634" s="17" t="str">
        <f t="shared" si="9"/>
        <v>M0112-A-206-1</v>
      </c>
      <c r="H634" s="17">
        <v>306.20999999999998</v>
      </c>
      <c r="I634" s="17">
        <v>306.72000000000003</v>
      </c>
    </row>
    <row r="635" spans="1:9">
      <c r="A635" s="17">
        <v>501</v>
      </c>
      <c r="B635" s="17" t="s">
        <v>104</v>
      </c>
      <c r="C635" s="17" t="s">
        <v>92</v>
      </c>
      <c r="D635" s="17">
        <v>207</v>
      </c>
      <c r="E635" s="17" t="s">
        <v>95</v>
      </c>
      <c r="F635" s="17">
        <v>1</v>
      </c>
      <c r="G635" s="17" t="str">
        <f t="shared" si="9"/>
        <v>M0112-A-207-1</v>
      </c>
      <c r="H635" s="17">
        <v>307.20999999999998</v>
      </c>
      <c r="I635" s="17">
        <v>307.22000000000003</v>
      </c>
    </row>
    <row r="636" spans="1:9">
      <c r="A636" s="17">
        <v>501</v>
      </c>
      <c r="B636" s="17" t="s">
        <v>104</v>
      </c>
      <c r="C636" s="17" t="s">
        <v>92</v>
      </c>
      <c r="D636" s="17">
        <v>209</v>
      </c>
      <c r="E636" s="17" t="s">
        <v>95</v>
      </c>
      <c r="F636" s="17">
        <v>1</v>
      </c>
      <c r="G636" s="17" t="str">
        <f t="shared" si="9"/>
        <v>M0112-A-209-1</v>
      </c>
      <c r="H636" s="17">
        <v>309.20999999999998</v>
      </c>
      <c r="I636" s="17">
        <v>309.41000000000003</v>
      </c>
    </row>
    <row r="637" spans="1:9">
      <c r="A637" s="17">
        <v>501</v>
      </c>
      <c r="B637" s="17" t="s">
        <v>104</v>
      </c>
      <c r="C637" s="17" t="s">
        <v>92</v>
      </c>
      <c r="D637" s="17">
        <v>210</v>
      </c>
      <c r="E637" s="17" t="s">
        <v>95</v>
      </c>
      <c r="F637" s="17">
        <v>1</v>
      </c>
      <c r="G637" s="17" t="str">
        <f t="shared" si="9"/>
        <v>M0112-A-210-1</v>
      </c>
      <c r="H637" s="17">
        <v>310.20999999999998</v>
      </c>
      <c r="I637" s="17">
        <v>310.49</v>
      </c>
    </row>
    <row r="638" spans="1:9">
      <c r="A638" s="17">
        <v>501</v>
      </c>
      <c r="B638" s="17" t="s">
        <v>104</v>
      </c>
      <c r="C638" s="17" t="s">
        <v>92</v>
      </c>
      <c r="D638" s="17">
        <v>211</v>
      </c>
      <c r="E638" s="17" t="s">
        <v>95</v>
      </c>
      <c r="F638" s="17">
        <v>1</v>
      </c>
      <c r="G638" s="17" t="str">
        <f t="shared" si="9"/>
        <v>M0112-A-211-1</v>
      </c>
      <c r="H638" s="17">
        <v>311.20999999999998</v>
      </c>
      <c r="I638" s="17">
        <v>311.29000000000002</v>
      </c>
    </row>
    <row r="639" spans="1:9">
      <c r="A639" s="17">
        <v>501</v>
      </c>
      <c r="B639" s="17" t="s">
        <v>104</v>
      </c>
      <c r="C639" s="17" t="s">
        <v>92</v>
      </c>
      <c r="D639" s="17">
        <v>212</v>
      </c>
      <c r="E639" s="17" t="s">
        <v>95</v>
      </c>
      <c r="F639" s="17">
        <v>1</v>
      </c>
      <c r="G639" s="17" t="str">
        <f t="shared" si="9"/>
        <v>M0112-A-212-1</v>
      </c>
      <c r="H639" s="17">
        <v>312.20999999999998</v>
      </c>
      <c r="I639" s="17">
        <v>313.01</v>
      </c>
    </row>
    <row r="640" spans="1:9">
      <c r="A640" s="17">
        <v>501</v>
      </c>
      <c r="B640" s="17" t="s">
        <v>104</v>
      </c>
      <c r="C640" s="17" t="s">
        <v>92</v>
      </c>
      <c r="D640" s="17">
        <v>212</v>
      </c>
      <c r="E640" s="17" t="s">
        <v>95</v>
      </c>
      <c r="F640" s="17">
        <v>2</v>
      </c>
      <c r="G640" s="17" t="str">
        <f t="shared" si="9"/>
        <v>M0112-A-212-2</v>
      </c>
      <c r="H640" s="17">
        <v>313.01</v>
      </c>
      <c r="I640" s="17">
        <v>313.52999999999997</v>
      </c>
    </row>
    <row r="641" spans="1:9">
      <c r="A641" s="17">
        <v>501</v>
      </c>
      <c r="B641" s="17" t="s">
        <v>104</v>
      </c>
      <c r="C641" s="17" t="s">
        <v>92</v>
      </c>
      <c r="D641" s="17">
        <v>213</v>
      </c>
      <c r="E641" s="17" t="s">
        <v>95</v>
      </c>
      <c r="F641" s="17">
        <v>1</v>
      </c>
      <c r="G641" s="17" t="str">
        <f t="shared" si="9"/>
        <v>M0112-A-213-1</v>
      </c>
      <c r="H641" s="17">
        <v>313.20999999999998</v>
      </c>
      <c r="I641" s="17">
        <v>313.22000000000003</v>
      </c>
    </row>
    <row r="642" spans="1:9">
      <c r="A642" s="17">
        <v>501</v>
      </c>
      <c r="B642" s="17" t="s">
        <v>104</v>
      </c>
      <c r="C642" s="17" t="s">
        <v>92</v>
      </c>
      <c r="D642" s="17">
        <v>214</v>
      </c>
      <c r="E642" s="17" t="s">
        <v>95</v>
      </c>
      <c r="F642" s="17">
        <v>1</v>
      </c>
      <c r="G642" s="17" t="str">
        <f t="shared" si="9"/>
        <v>M0112-A-214-1</v>
      </c>
      <c r="H642" s="17">
        <v>314.20999999999998</v>
      </c>
      <c r="I642" s="17">
        <v>315.70999999999998</v>
      </c>
    </row>
    <row r="643" spans="1:9">
      <c r="A643" s="17">
        <v>501</v>
      </c>
      <c r="B643" s="17" t="s">
        <v>104</v>
      </c>
      <c r="C643" s="17" t="s">
        <v>92</v>
      </c>
      <c r="D643" s="17">
        <v>214</v>
      </c>
      <c r="E643" s="17" t="s">
        <v>95</v>
      </c>
      <c r="F643" s="17">
        <v>2</v>
      </c>
      <c r="G643" s="17" t="str">
        <f t="shared" si="9"/>
        <v>M0112-A-214-2</v>
      </c>
      <c r="H643" s="17">
        <v>315.70999999999998</v>
      </c>
      <c r="I643" s="17">
        <v>316.39</v>
      </c>
    </row>
    <row r="644" spans="1:9">
      <c r="A644" s="17">
        <v>501</v>
      </c>
      <c r="B644" s="17" t="s">
        <v>104</v>
      </c>
      <c r="C644" s="17" t="s">
        <v>92</v>
      </c>
      <c r="D644" s="17">
        <v>215</v>
      </c>
      <c r="E644" s="17" t="s">
        <v>95</v>
      </c>
      <c r="F644" s="17">
        <v>1</v>
      </c>
      <c r="G644" s="17" t="str">
        <f t="shared" si="9"/>
        <v>M0112-A-215-1</v>
      </c>
      <c r="H644" s="17">
        <v>315.20999999999998</v>
      </c>
      <c r="I644" s="17">
        <v>316.47000000000003</v>
      </c>
    </row>
    <row r="645" spans="1:9">
      <c r="A645" s="17">
        <v>501</v>
      </c>
      <c r="B645" s="17" t="s">
        <v>104</v>
      </c>
      <c r="C645" s="17" t="s">
        <v>92</v>
      </c>
      <c r="D645" s="17">
        <v>215</v>
      </c>
      <c r="E645" s="17" t="s">
        <v>95</v>
      </c>
      <c r="F645" s="17">
        <v>2</v>
      </c>
      <c r="G645" s="17" t="str">
        <f t="shared" si="9"/>
        <v>M0112-A-215-2</v>
      </c>
      <c r="H645" s="17">
        <v>316.47000000000003</v>
      </c>
      <c r="I645" s="17">
        <v>317.02</v>
      </c>
    </row>
    <row r="646" spans="1:9">
      <c r="A646" s="17">
        <v>501</v>
      </c>
      <c r="B646" s="17" t="s">
        <v>104</v>
      </c>
      <c r="C646" s="17" t="s">
        <v>92</v>
      </c>
      <c r="D646" s="17">
        <v>216</v>
      </c>
      <c r="E646" s="17" t="s">
        <v>95</v>
      </c>
      <c r="F646" s="17">
        <v>1</v>
      </c>
      <c r="G646" s="17" t="str">
        <f t="shared" si="9"/>
        <v>M0112-A-216-1</v>
      </c>
      <c r="H646" s="17">
        <v>317.20999999999998</v>
      </c>
      <c r="I646" s="17">
        <v>318.70999999999998</v>
      </c>
    </row>
    <row r="647" spans="1:9">
      <c r="A647" s="17">
        <v>501</v>
      </c>
      <c r="B647" s="17" t="s">
        <v>104</v>
      </c>
      <c r="C647" s="17" t="s">
        <v>92</v>
      </c>
      <c r="D647" s="17">
        <v>216</v>
      </c>
      <c r="E647" s="17" t="s">
        <v>95</v>
      </c>
      <c r="F647" s="17">
        <v>2</v>
      </c>
      <c r="G647" s="17" t="str">
        <f t="shared" si="9"/>
        <v>M0112-A-216-2</v>
      </c>
      <c r="H647" s="17">
        <v>318.70999999999998</v>
      </c>
      <c r="I647" s="17">
        <v>319.66000000000003</v>
      </c>
    </row>
    <row r="648" spans="1:9">
      <c r="A648" s="17">
        <v>501</v>
      </c>
      <c r="B648" s="17" t="s">
        <v>104</v>
      </c>
      <c r="C648" s="17" t="s">
        <v>92</v>
      </c>
      <c r="D648" s="17">
        <v>217</v>
      </c>
      <c r="E648" s="17" t="s">
        <v>95</v>
      </c>
      <c r="F648" s="17">
        <v>1</v>
      </c>
      <c r="G648" s="17" t="str">
        <f t="shared" si="9"/>
        <v>M0112-A-217-1</v>
      </c>
      <c r="H648" s="17">
        <v>320.20999999999998</v>
      </c>
      <c r="I648" s="17">
        <v>321.70999999999998</v>
      </c>
    </row>
    <row r="649" spans="1:9">
      <c r="A649" s="17">
        <v>501</v>
      </c>
      <c r="B649" s="17" t="s">
        <v>104</v>
      </c>
      <c r="C649" s="17" t="s">
        <v>92</v>
      </c>
      <c r="D649" s="17">
        <v>217</v>
      </c>
      <c r="E649" s="17" t="s">
        <v>95</v>
      </c>
      <c r="F649" s="17">
        <v>2</v>
      </c>
      <c r="G649" s="17" t="str">
        <f t="shared" si="9"/>
        <v>M0112-A-217-2</v>
      </c>
      <c r="H649" s="17">
        <v>321.70999999999998</v>
      </c>
      <c r="I649" s="17">
        <v>323.18</v>
      </c>
    </row>
    <row r="650" spans="1:9">
      <c r="A650" s="17">
        <v>501</v>
      </c>
      <c r="B650" s="17" t="s">
        <v>104</v>
      </c>
      <c r="C650" s="17" t="s">
        <v>92</v>
      </c>
      <c r="D650" s="17">
        <v>218</v>
      </c>
      <c r="E650" s="17" t="s">
        <v>95</v>
      </c>
      <c r="F650" s="17">
        <v>1</v>
      </c>
      <c r="G650" s="17" t="str">
        <f t="shared" si="9"/>
        <v>M0112-A-218-1</v>
      </c>
      <c r="H650" s="17">
        <v>322.20999999999998</v>
      </c>
      <c r="I650" s="17">
        <v>323.52999999999997</v>
      </c>
    </row>
    <row r="651" spans="1:9">
      <c r="A651" s="17">
        <v>501</v>
      </c>
      <c r="B651" s="17" t="s">
        <v>104</v>
      </c>
      <c r="C651" s="17" t="s">
        <v>92</v>
      </c>
      <c r="D651" s="17">
        <v>218</v>
      </c>
      <c r="E651" s="17" t="s">
        <v>95</v>
      </c>
      <c r="F651" s="17">
        <v>2</v>
      </c>
      <c r="G651" s="17" t="str">
        <f t="shared" si="9"/>
        <v>M0112-A-218-2</v>
      </c>
      <c r="H651" s="17">
        <v>322.20999999999998</v>
      </c>
      <c r="I651" s="17">
        <v>323.52999999999997</v>
      </c>
    </row>
    <row r="652" spans="1:9">
      <c r="A652" s="17">
        <v>501</v>
      </c>
      <c r="B652" s="17" t="s">
        <v>104</v>
      </c>
      <c r="C652" s="17" t="s">
        <v>92</v>
      </c>
      <c r="D652" s="17">
        <v>219</v>
      </c>
      <c r="E652" s="17" t="s">
        <v>95</v>
      </c>
      <c r="F652" s="17">
        <v>1</v>
      </c>
      <c r="G652" s="17" t="str">
        <f t="shared" si="9"/>
        <v>M0112-A-219-1</v>
      </c>
      <c r="H652" s="17">
        <v>324.01</v>
      </c>
      <c r="I652" s="17">
        <v>324.95999999999998</v>
      </c>
    </row>
    <row r="653" spans="1:9">
      <c r="A653" s="17">
        <v>501</v>
      </c>
      <c r="B653" s="17" t="s">
        <v>104</v>
      </c>
      <c r="C653" s="17" t="s">
        <v>92</v>
      </c>
      <c r="D653" s="17">
        <v>219</v>
      </c>
      <c r="E653" s="17" t="s">
        <v>95</v>
      </c>
      <c r="F653" s="17">
        <v>2</v>
      </c>
      <c r="G653" s="17" t="str">
        <f t="shared" si="9"/>
        <v>M0112-A-219-2</v>
      </c>
      <c r="H653" s="17">
        <v>324.95999999999998</v>
      </c>
      <c r="I653" s="17">
        <v>325.81</v>
      </c>
    </row>
    <row r="654" spans="1:9">
      <c r="A654" s="17">
        <v>501</v>
      </c>
      <c r="B654" s="17" t="s">
        <v>104</v>
      </c>
      <c r="C654" s="17" t="s">
        <v>92</v>
      </c>
      <c r="D654" s="17">
        <v>221</v>
      </c>
      <c r="E654" s="17" t="s">
        <v>95</v>
      </c>
      <c r="F654" s="17">
        <v>1</v>
      </c>
      <c r="G654" s="17" t="str">
        <f t="shared" si="9"/>
        <v>M0112-A-221-1</v>
      </c>
      <c r="H654" s="17">
        <v>328.21</v>
      </c>
      <c r="I654" s="17">
        <v>328.49</v>
      </c>
    </row>
    <row r="655" spans="1:9">
      <c r="A655" s="17">
        <v>501</v>
      </c>
      <c r="B655" s="17" t="s">
        <v>104</v>
      </c>
      <c r="C655" s="17" t="s">
        <v>94</v>
      </c>
      <c r="D655" s="17">
        <v>2</v>
      </c>
      <c r="E655" s="17" t="s">
        <v>93</v>
      </c>
      <c r="F655" s="17">
        <v>1</v>
      </c>
      <c r="G655" s="17" t="str">
        <f t="shared" si="9"/>
        <v>M0112-B-2-1</v>
      </c>
      <c r="H655" s="17">
        <v>28.22</v>
      </c>
      <c r="I655" s="17">
        <v>29.73</v>
      </c>
    </row>
    <row r="656" spans="1:9">
      <c r="A656" s="17">
        <v>501</v>
      </c>
      <c r="B656" s="17" t="s">
        <v>104</v>
      </c>
      <c r="C656" s="17" t="s">
        <v>94</v>
      </c>
      <c r="D656" s="17">
        <v>2</v>
      </c>
      <c r="E656" s="17" t="s">
        <v>93</v>
      </c>
      <c r="F656" s="17">
        <v>2</v>
      </c>
      <c r="G656" s="17" t="str">
        <f t="shared" si="9"/>
        <v>M0112-B-2-2</v>
      </c>
      <c r="H656" s="17">
        <v>29.73</v>
      </c>
      <c r="I656" s="17">
        <v>30.39</v>
      </c>
    </row>
    <row r="657" spans="1:9">
      <c r="A657" s="17">
        <v>501</v>
      </c>
      <c r="B657" s="17" t="s">
        <v>104</v>
      </c>
      <c r="C657" s="17" t="s">
        <v>94</v>
      </c>
      <c r="D657" s="17">
        <v>3</v>
      </c>
      <c r="E657" s="17" t="s">
        <v>93</v>
      </c>
      <c r="F657" s="17">
        <v>1</v>
      </c>
      <c r="G657" s="17" t="str">
        <f t="shared" si="9"/>
        <v>M0112-B-3-1</v>
      </c>
      <c r="H657" s="17">
        <v>30.39</v>
      </c>
      <c r="I657" s="17">
        <v>31.9</v>
      </c>
    </row>
    <row r="658" spans="1:9">
      <c r="A658" s="17">
        <v>501</v>
      </c>
      <c r="B658" s="17" t="s">
        <v>104</v>
      </c>
      <c r="C658" s="17" t="s">
        <v>94</v>
      </c>
      <c r="D658" s="17">
        <v>3</v>
      </c>
      <c r="E658" s="17" t="s">
        <v>93</v>
      </c>
      <c r="F658" s="17">
        <v>2</v>
      </c>
      <c r="G658" s="17" t="str">
        <f t="shared" si="9"/>
        <v>M0112-B-3-2</v>
      </c>
      <c r="H658" s="17">
        <v>31.9</v>
      </c>
      <c r="I658" s="17">
        <v>32.72</v>
      </c>
    </row>
    <row r="659" spans="1:9">
      <c r="A659" s="17">
        <v>501</v>
      </c>
      <c r="B659" s="17" t="s">
        <v>104</v>
      </c>
      <c r="C659" s="17" t="s">
        <v>94</v>
      </c>
      <c r="D659" s="17">
        <v>5</v>
      </c>
      <c r="E659" s="17" t="s">
        <v>93</v>
      </c>
      <c r="F659" s="17">
        <v>1</v>
      </c>
      <c r="G659" s="17" t="str">
        <f t="shared" si="9"/>
        <v>M0112-B-5-1</v>
      </c>
      <c r="H659" s="17">
        <v>54</v>
      </c>
      <c r="I659" s="17">
        <v>55.19</v>
      </c>
    </row>
    <row r="660" spans="1:9">
      <c r="A660" s="17">
        <v>501</v>
      </c>
      <c r="B660" s="17" t="s">
        <v>104</v>
      </c>
      <c r="C660" s="17" t="s">
        <v>94</v>
      </c>
      <c r="D660" s="17">
        <v>5</v>
      </c>
      <c r="E660" s="17" t="s">
        <v>93</v>
      </c>
      <c r="F660" s="17">
        <v>2</v>
      </c>
      <c r="G660" s="17" t="str">
        <f t="shared" si="9"/>
        <v>M0112-B-5-2</v>
      </c>
      <c r="H660" s="17">
        <v>55.19</v>
      </c>
      <c r="I660" s="17">
        <v>55.52</v>
      </c>
    </row>
    <row r="661" spans="1:9">
      <c r="A661" s="17">
        <v>501</v>
      </c>
      <c r="B661" s="17" t="s">
        <v>104</v>
      </c>
      <c r="C661" s="17" t="s">
        <v>94</v>
      </c>
      <c r="D661" s="17">
        <v>6</v>
      </c>
      <c r="E661" s="17" t="s">
        <v>95</v>
      </c>
      <c r="F661" s="17">
        <v>1</v>
      </c>
      <c r="G661" s="17" t="str">
        <f t="shared" si="9"/>
        <v>M0112-B-6-1</v>
      </c>
      <c r="H661" s="17">
        <v>55.52</v>
      </c>
      <c r="I661" s="17">
        <v>56.32</v>
      </c>
    </row>
    <row r="662" spans="1:9">
      <c r="A662" s="17">
        <v>501</v>
      </c>
      <c r="B662" s="17" t="s">
        <v>104</v>
      </c>
      <c r="C662" s="17" t="s">
        <v>94</v>
      </c>
      <c r="D662" s="17">
        <v>7</v>
      </c>
      <c r="E662" s="17" t="s">
        <v>95</v>
      </c>
      <c r="F662" s="17">
        <v>1</v>
      </c>
      <c r="G662" s="17" t="str">
        <f t="shared" si="9"/>
        <v>M0112-B-7-1</v>
      </c>
      <c r="H662" s="17">
        <v>56.82</v>
      </c>
      <c r="I662" s="17">
        <v>57.4</v>
      </c>
    </row>
    <row r="663" spans="1:9">
      <c r="A663" s="17">
        <v>501</v>
      </c>
      <c r="B663" s="17" t="s">
        <v>104</v>
      </c>
      <c r="C663" s="17" t="s">
        <v>94</v>
      </c>
      <c r="D663" s="17">
        <v>8</v>
      </c>
      <c r="E663" s="17" t="s">
        <v>95</v>
      </c>
      <c r="F663" s="17">
        <v>1</v>
      </c>
      <c r="G663" s="17" t="str">
        <f t="shared" si="9"/>
        <v>M0112-B-8-1</v>
      </c>
      <c r="H663" s="17">
        <v>58.32</v>
      </c>
      <c r="I663" s="17">
        <v>58.72</v>
      </c>
    </row>
    <row r="664" spans="1:9">
      <c r="A664" s="17">
        <v>501</v>
      </c>
      <c r="B664" s="17" t="s">
        <v>104</v>
      </c>
      <c r="C664" s="17" t="s">
        <v>94</v>
      </c>
      <c r="D664" s="17">
        <v>9</v>
      </c>
      <c r="E664" s="17" t="s">
        <v>95</v>
      </c>
      <c r="F664" s="17">
        <v>1</v>
      </c>
      <c r="G664" s="17" t="str">
        <f t="shared" si="9"/>
        <v>M0112-B-9-1</v>
      </c>
      <c r="H664" s="17">
        <v>59.82</v>
      </c>
      <c r="I664" s="17">
        <v>60.89</v>
      </c>
    </row>
    <row r="665" spans="1:9">
      <c r="A665" s="17">
        <v>501</v>
      </c>
      <c r="B665" s="17" t="s">
        <v>104</v>
      </c>
      <c r="C665" s="17" t="s">
        <v>94</v>
      </c>
      <c r="D665" s="17">
        <v>9</v>
      </c>
      <c r="E665" s="17" t="s">
        <v>95</v>
      </c>
      <c r="F665" s="17">
        <v>2</v>
      </c>
      <c r="G665" s="17" t="str">
        <f t="shared" si="9"/>
        <v>M0112-B-9-2</v>
      </c>
      <c r="H665" s="17">
        <v>60.89</v>
      </c>
      <c r="I665" s="17">
        <v>61.37</v>
      </c>
    </row>
    <row r="666" spans="1:9">
      <c r="A666" s="17">
        <v>501</v>
      </c>
      <c r="B666" s="17" t="s">
        <v>104</v>
      </c>
      <c r="C666" s="17" t="s">
        <v>94</v>
      </c>
      <c r="D666" s="17">
        <v>10</v>
      </c>
      <c r="E666" s="17" t="s">
        <v>95</v>
      </c>
      <c r="F666" s="17">
        <v>1</v>
      </c>
      <c r="G666" s="17" t="str">
        <f t="shared" si="9"/>
        <v>M0112-B-10-1</v>
      </c>
      <c r="H666" s="17">
        <v>61.32</v>
      </c>
      <c r="I666" s="17">
        <v>62.82</v>
      </c>
    </row>
    <row r="667" spans="1:9">
      <c r="A667" s="17">
        <v>501</v>
      </c>
      <c r="B667" s="17" t="s">
        <v>104</v>
      </c>
      <c r="C667" s="17" t="s">
        <v>94</v>
      </c>
      <c r="D667" s="17">
        <v>12</v>
      </c>
      <c r="E667" s="17" t="s">
        <v>95</v>
      </c>
      <c r="F667" s="17">
        <v>1</v>
      </c>
      <c r="G667" s="17" t="str">
        <f t="shared" si="9"/>
        <v>M0112-B-12-1</v>
      </c>
      <c r="H667" s="17">
        <v>82</v>
      </c>
      <c r="I667" s="17">
        <v>83.48</v>
      </c>
    </row>
    <row r="668" spans="1:9">
      <c r="A668" s="17">
        <v>501</v>
      </c>
      <c r="B668" s="17" t="s">
        <v>104</v>
      </c>
      <c r="C668" s="17" t="s">
        <v>94</v>
      </c>
      <c r="D668" s="17">
        <v>13</v>
      </c>
      <c r="E668" s="17" t="s">
        <v>95</v>
      </c>
      <c r="F668" s="17">
        <v>1</v>
      </c>
      <c r="G668" s="17" t="str">
        <f t="shared" si="9"/>
        <v>M0112-B-13-1</v>
      </c>
      <c r="H668" s="17">
        <v>83.5</v>
      </c>
      <c r="I668" s="17">
        <v>85</v>
      </c>
    </row>
    <row r="669" spans="1:9">
      <c r="A669" s="17">
        <v>501</v>
      </c>
      <c r="B669" s="17" t="s">
        <v>104</v>
      </c>
      <c r="C669" s="17" t="s">
        <v>94</v>
      </c>
      <c r="D669" s="17">
        <v>13</v>
      </c>
      <c r="E669" s="17" t="s">
        <v>95</v>
      </c>
      <c r="F669" s="17">
        <v>2</v>
      </c>
      <c r="G669" s="17" t="str">
        <f t="shared" si="9"/>
        <v>M0112-B-13-2</v>
      </c>
      <c r="H669" s="17">
        <v>85</v>
      </c>
      <c r="I669" s="17">
        <v>86.02</v>
      </c>
    </row>
    <row r="670" spans="1:9">
      <c r="A670" s="17">
        <v>501</v>
      </c>
      <c r="B670" s="17" t="s">
        <v>104</v>
      </c>
      <c r="C670" s="17" t="s">
        <v>94</v>
      </c>
      <c r="D670" s="17">
        <v>14</v>
      </c>
      <c r="E670" s="17" t="s">
        <v>95</v>
      </c>
      <c r="F670" s="17">
        <v>1</v>
      </c>
      <c r="G670" s="17" t="str">
        <f t="shared" si="9"/>
        <v>M0112-B-14-1</v>
      </c>
      <c r="H670" s="17">
        <v>86.5</v>
      </c>
      <c r="I670" s="17">
        <v>87.75</v>
      </c>
    </row>
    <row r="671" spans="1:9">
      <c r="A671" s="17">
        <v>501</v>
      </c>
      <c r="B671" s="17" t="s">
        <v>104</v>
      </c>
      <c r="C671" s="17" t="s">
        <v>94</v>
      </c>
      <c r="D671" s="17">
        <v>15</v>
      </c>
      <c r="E671" s="17" t="s">
        <v>95</v>
      </c>
      <c r="F671" s="17">
        <v>1</v>
      </c>
      <c r="G671" s="17" t="str">
        <f t="shared" si="9"/>
        <v>M0112-B-15-1</v>
      </c>
      <c r="H671" s="17">
        <v>89.5</v>
      </c>
      <c r="I671" s="17">
        <v>91</v>
      </c>
    </row>
    <row r="672" spans="1:9">
      <c r="A672" s="17">
        <v>501</v>
      </c>
      <c r="B672" s="17" t="s">
        <v>104</v>
      </c>
      <c r="C672" s="17" t="s">
        <v>94</v>
      </c>
      <c r="D672" s="17">
        <v>15</v>
      </c>
      <c r="E672" s="17" t="s">
        <v>95</v>
      </c>
      <c r="F672" s="17">
        <v>2</v>
      </c>
      <c r="G672" s="17" t="str">
        <f t="shared" si="9"/>
        <v>M0112-B-15-2</v>
      </c>
      <c r="H672" s="17">
        <v>91</v>
      </c>
      <c r="I672" s="17">
        <v>92.27</v>
      </c>
    </row>
    <row r="673" spans="1:9">
      <c r="A673" s="17">
        <v>501</v>
      </c>
      <c r="B673" s="17" t="s">
        <v>104</v>
      </c>
      <c r="C673" s="17" t="s">
        <v>94</v>
      </c>
      <c r="D673" s="17">
        <v>16</v>
      </c>
      <c r="E673" s="17" t="s">
        <v>95</v>
      </c>
      <c r="F673" s="17">
        <v>1</v>
      </c>
      <c r="G673" s="17" t="str">
        <f t="shared" si="9"/>
        <v>M0112-B-16-1</v>
      </c>
      <c r="H673" s="17">
        <v>92.5</v>
      </c>
      <c r="I673" s="17">
        <v>94</v>
      </c>
    </row>
    <row r="674" spans="1:9">
      <c r="A674" s="17">
        <v>501</v>
      </c>
      <c r="B674" s="17" t="s">
        <v>104</v>
      </c>
      <c r="C674" s="17" t="s">
        <v>94</v>
      </c>
      <c r="D674" s="17">
        <v>16</v>
      </c>
      <c r="E674" s="17" t="s">
        <v>95</v>
      </c>
      <c r="F674" s="17">
        <v>2</v>
      </c>
      <c r="G674" s="17" t="str">
        <f t="shared" si="9"/>
        <v>M0112-B-16-2</v>
      </c>
      <c r="H674" s="17">
        <v>94</v>
      </c>
      <c r="I674" s="17">
        <v>94.91</v>
      </c>
    </row>
    <row r="675" spans="1:9">
      <c r="A675" s="17">
        <v>501</v>
      </c>
      <c r="B675" s="17" t="s">
        <v>104</v>
      </c>
      <c r="C675" s="17" t="s">
        <v>94</v>
      </c>
      <c r="D675" s="17">
        <v>17</v>
      </c>
      <c r="E675" s="17" t="s">
        <v>95</v>
      </c>
      <c r="F675" s="17">
        <v>1</v>
      </c>
      <c r="G675" s="17" t="str">
        <f t="shared" si="9"/>
        <v>M0112-B-17-1</v>
      </c>
      <c r="H675" s="17">
        <v>95.5</v>
      </c>
      <c r="I675" s="17">
        <v>96.91</v>
      </c>
    </row>
    <row r="676" spans="1:9">
      <c r="A676" s="17">
        <v>501</v>
      </c>
      <c r="B676" s="17" t="s">
        <v>104</v>
      </c>
      <c r="C676" s="17" t="s">
        <v>94</v>
      </c>
      <c r="D676" s="17">
        <v>18</v>
      </c>
      <c r="E676" s="17" t="s">
        <v>95</v>
      </c>
      <c r="F676" s="17">
        <v>1</v>
      </c>
      <c r="G676" s="17" t="str">
        <f t="shared" si="9"/>
        <v>M0112-B-18-1</v>
      </c>
      <c r="H676" s="17">
        <v>98.5</v>
      </c>
      <c r="I676" s="17">
        <v>98.82</v>
      </c>
    </row>
    <row r="677" spans="1:9">
      <c r="A677" s="17">
        <v>501</v>
      </c>
      <c r="B677" s="17" t="s">
        <v>104</v>
      </c>
      <c r="C677" s="17" t="s">
        <v>94</v>
      </c>
      <c r="D677" s="17">
        <v>19</v>
      </c>
      <c r="E677" s="17" t="s">
        <v>95</v>
      </c>
      <c r="F677" s="17">
        <v>1</v>
      </c>
      <c r="G677" s="17" t="str">
        <f t="shared" si="9"/>
        <v>M0112-B-19-1</v>
      </c>
      <c r="H677" s="17">
        <v>101.5</v>
      </c>
      <c r="I677" s="17">
        <v>102.11</v>
      </c>
    </row>
    <row r="678" spans="1:9">
      <c r="A678" s="17">
        <v>501</v>
      </c>
      <c r="B678" s="17" t="s">
        <v>104</v>
      </c>
      <c r="C678" s="17" t="s">
        <v>94</v>
      </c>
      <c r="D678" s="17">
        <v>19</v>
      </c>
      <c r="E678" s="17" t="s">
        <v>95</v>
      </c>
      <c r="F678" s="17">
        <v>2</v>
      </c>
      <c r="G678" s="17" t="str">
        <f t="shared" si="9"/>
        <v>M0112-B-19-2</v>
      </c>
      <c r="H678" s="17">
        <v>102.11</v>
      </c>
      <c r="I678" s="17">
        <v>102.55</v>
      </c>
    </row>
    <row r="679" spans="1:9">
      <c r="A679" s="17">
        <v>501</v>
      </c>
      <c r="B679" s="17" t="s">
        <v>104</v>
      </c>
      <c r="C679" s="17" t="s">
        <v>94</v>
      </c>
      <c r="D679" s="17">
        <v>20</v>
      </c>
      <c r="E679" s="17" t="s">
        <v>95</v>
      </c>
      <c r="F679" s="17">
        <v>1</v>
      </c>
      <c r="G679" s="17" t="str">
        <f t="shared" si="9"/>
        <v>M0112-B-20-1</v>
      </c>
      <c r="H679" s="17">
        <v>103.42</v>
      </c>
      <c r="I679" s="17">
        <v>103.6</v>
      </c>
    </row>
    <row r="680" spans="1:9">
      <c r="A680" s="17">
        <v>501</v>
      </c>
      <c r="B680" s="17" t="s">
        <v>104</v>
      </c>
      <c r="C680" s="17" t="s">
        <v>94</v>
      </c>
      <c r="D680" s="17">
        <v>21</v>
      </c>
      <c r="E680" s="17" t="s">
        <v>95</v>
      </c>
      <c r="F680" s="17">
        <v>1</v>
      </c>
      <c r="G680" s="17" t="str">
        <f t="shared" si="9"/>
        <v>M0112-B-21-1</v>
      </c>
      <c r="H680" s="17">
        <v>104.82</v>
      </c>
      <c r="I680" s="17">
        <v>105.06</v>
      </c>
    </row>
    <row r="681" spans="1:9">
      <c r="A681" s="17">
        <v>501</v>
      </c>
      <c r="B681" s="17" t="s">
        <v>104</v>
      </c>
      <c r="C681" s="17" t="s">
        <v>94</v>
      </c>
      <c r="D681" s="17">
        <v>22</v>
      </c>
      <c r="E681" s="17" t="s">
        <v>95</v>
      </c>
      <c r="F681" s="17">
        <v>1</v>
      </c>
      <c r="G681" s="17" t="str">
        <f t="shared" si="9"/>
        <v>M0112-B-22-1</v>
      </c>
      <c r="H681" s="17">
        <v>107.82</v>
      </c>
      <c r="I681" s="17">
        <v>107.93</v>
      </c>
    </row>
    <row r="682" spans="1:9">
      <c r="A682" s="17">
        <v>501</v>
      </c>
      <c r="B682" s="17" t="s">
        <v>104</v>
      </c>
      <c r="C682" s="17" t="s">
        <v>94</v>
      </c>
      <c r="D682" s="17">
        <v>24</v>
      </c>
      <c r="E682" s="17" t="s">
        <v>95</v>
      </c>
      <c r="F682" s="17">
        <v>1</v>
      </c>
      <c r="G682" s="17" t="str">
        <f t="shared" si="9"/>
        <v>M0112-B-24-1</v>
      </c>
      <c r="H682" s="17">
        <v>110.22</v>
      </c>
      <c r="I682" s="17">
        <v>110.77</v>
      </c>
    </row>
    <row r="683" spans="1:9">
      <c r="A683" s="17">
        <v>501</v>
      </c>
      <c r="B683" s="17" t="s">
        <v>104</v>
      </c>
      <c r="C683" s="17" t="s">
        <v>94</v>
      </c>
      <c r="D683" s="17">
        <v>25</v>
      </c>
      <c r="E683" s="17" t="s">
        <v>103</v>
      </c>
      <c r="F683" s="17">
        <v>1</v>
      </c>
      <c r="G683" s="17" t="str">
        <f t="shared" si="9"/>
        <v>M0112-B-25-1</v>
      </c>
      <c r="H683" s="17">
        <v>80.819999999999993</v>
      </c>
      <c r="I683" s="17">
        <v>110.82</v>
      </c>
    </row>
    <row r="684" spans="1:9">
      <c r="A684" s="17">
        <v>501</v>
      </c>
      <c r="B684" s="17" t="s">
        <v>104</v>
      </c>
      <c r="C684" s="17" t="s">
        <v>94</v>
      </c>
      <c r="D684" s="17">
        <v>27</v>
      </c>
      <c r="E684" s="17" t="s">
        <v>95</v>
      </c>
      <c r="F684" s="17">
        <v>1</v>
      </c>
      <c r="G684" s="17" t="str">
        <f t="shared" si="9"/>
        <v>M0112-B-27-1</v>
      </c>
      <c r="H684" s="17">
        <v>138</v>
      </c>
      <c r="I684" s="17">
        <v>139.5</v>
      </c>
    </row>
    <row r="685" spans="1:9">
      <c r="A685" s="17">
        <v>501</v>
      </c>
      <c r="B685" s="17" t="s">
        <v>104</v>
      </c>
      <c r="C685" s="17" t="s">
        <v>94</v>
      </c>
      <c r="D685" s="17">
        <v>27</v>
      </c>
      <c r="E685" s="17" t="s">
        <v>95</v>
      </c>
      <c r="F685" s="17">
        <v>2</v>
      </c>
      <c r="G685" s="17" t="str">
        <f t="shared" si="9"/>
        <v>M0112-B-27-2</v>
      </c>
      <c r="H685" s="17">
        <v>139.5</v>
      </c>
      <c r="I685" s="17">
        <v>140.66</v>
      </c>
    </row>
    <row r="686" spans="1:9">
      <c r="A686" s="17">
        <v>501</v>
      </c>
      <c r="B686" s="17" t="s">
        <v>104</v>
      </c>
      <c r="C686" s="17" t="s">
        <v>94</v>
      </c>
      <c r="D686" s="17">
        <v>28</v>
      </c>
      <c r="E686" s="17" t="s">
        <v>95</v>
      </c>
      <c r="F686" s="17">
        <v>1</v>
      </c>
      <c r="G686" s="17" t="str">
        <f t="shared" si="9"/>
        <v>M0112-B-28-1</v>
      </c>
      <c r="H686" s="17">
        <v>141</v>
      </c>
      <c r="I686" s="17">
        <v>142.5</v>
      </c>
    </row>
    <row r="687" spans="1:9">
      <c r="A687" s="17">
        <v>501</v>
      </c>
      <c r="B687" s="17" t="s">
        <v>104</v>
      </c>
      <c r="C687" s="17" t="s">
        <v>94</v>
      </c>
      <c r="D687" s="17">
        <v>28</v>
      </c>
      <c r="E687" s="17" t="s">
        <v>95</v>
      </c>
      <c r="F687" s="17">
        <v>2</v>
      </c>
      <c r="G687" s="17" t="str">
        <f t="shared" si="9"/>
        <v>M0112-B-28-2</v>
      </c>
      <c r="H687" s="17">
        <v>142.5</v>
      </c>
      <c r="I687" s="17">
        <v>143.5</v>
      </c>
    </row>
    <row r="688" spans="1:9">
      <c r="A688" s="17">
        <v>501</v>
      </c>
      <c r="B688" s="17" t="s">
        <v>104</v>
      </c>
      <c r="C688" s="17" t="s">
        <v>94</v>
      </c>
      <c r="D688" s="17">
        <v>28</v>
      </c>
      <c r="E688" s="17" t="s">
        <v>95</v>
      </c>
      <c r="F688" s="17">
        <v>3</v>
      </c>
      <c r="G688" s="17" t="str">
        <f t="shared" si="9"/>
        <v>M0112-B-28-3</v>
      </c>
      <c r="H688" s="17">
        <v>143.5</v>
      </c>
      <c r="I688" s="17">
        <v>144.13999999999999</v>
      </c>
    </row>
    <row r="689" spans="1:9">
      <c r="A689" s="17">
        <v>501</v>
      </c>
      <c r="B689" s="17" t="s">
        <v>104</v>
      </c>
      <c r="C689" s="17" t="s">
        <v>94</v>
      </c>
      <c r="D689" s="17">
        <v>29</v>
      </c>
      <c r="E689" s="17" t="s">
        <v>95</v>
      </c>
      <c r="F689" s="17">
        <v>1</v>
      </c>
      <c r="G689" s="17" t="str">
        <f t="shared" si="9"/>
        <v>M0112-B-29-1</v>
      </c>
      <c r="H689" s="17">
        <v>144</v>
      </c>
      <c r="I689" s="17">
        <v>145.5</v>
      </c>
    </row>
    <row r="690" spans="1:9">
      <c r="A690" s="17">
        <v>501</v>
      </c>
      <c r="B690" s="17" t="s">
        <v>104</v>
      </c>
      <c r="C690" s="17" t="s">
        <v>94</v>
      </c>
      <c r="D690" s="17">
        <v>29</v>
      </c>
      <c r="E690" s="17" t="s">
        <v>95</v>
      </c>
      <c r="F690" s="17">
        <v>2</v>
      </c>
      <c r="G690" s="17" t="str">
        <f t="shared" si="9"/>
        <v>M0112-B-29-2</v>
      </c>
      <c r="H690" s="17">
        <v>145.5</v>
      </c>
      <c r="I690" s="17">
        <v>146.5</v>
      </c>
    </row>
    <row r="691" spans="1:9">
      <c r="A691" s="17">
        <v>501</v>
      </c>
      <c r="B691" s="17" t="s">
        <v>104</v>
      </c>
      <c r="C691" s="17" t="s">
        <v>94</v>
      </c>
      <c r="D691" s="17">
        <v>29</v>
      </c>
      <c r="E691" s="17" t="s">
        <v>95</v>
      </c>
      <c r="F691" s="17">
        <v>3</v>
      </c>
      <c r="G691" s="17" t="str">
        <f t="shared" si="9"/>
        <v>M0112-B-29-3</v>
      </c>
      <c r="H691" s="17">
        <v>146.5</v>
      </c>
      <c r="I691" s="17">
        <v>147.09</v>
      </c>
    </row>
    <row r="692" spans="1:9">
      <c r="A692" s="17">
        <v>501</v>
      </c>
      <c r="B692" s="17" t="s">
        <v>104</v>
      </c>
      <c r="C692" s="17" t="s">
        <v>94</v>
      </c>
      <c r="D692" s="17">
        <v>30</v>
      </c>
      <c r="E692" s="17" t="s">
        <v>95</v>
      </c>
      <c r="F692" s="17">
        <v>1</v>
      </c>
      <c r="G692" s="17" t="str">
        <f t="shared" si="9"/>
        <v>M0112-B-30-1</v>
      </c>
      <c r="H692" s="17">
        <v>147</v>
      </c>
      <c r="I692" s="17">
        <v>148.5</v>
      </c>
    </row>
    <row r="693" spans="1:9">
      <c r="A693" s="17">
        <v>501</v>
      </c>
      <c r="B693" s="17" t="s">
        <v>104</v>
      </c>
      <c r="C693" s="17" t="s">
        <v>94</v>
      </c>
      <c r="D693" s="17">
        <v>30</v>
      </c>
      <c r="E693" s="17" t="s">
        <v>95</v>
      </c>
      <c r="F693" s="17">
        <v>2</v>
      </c>
      <c r="G693" s="17" t="str">
        <f t="shared" si="9"/>
        <v>M0112-B-30-2</v>
      </c>
      <c r="H693" s="17">
        <v>148.5</v>
      </c>
      <c r="I693" s="17">
        <v>149.54</v>
      </c>
    </row>
    <row r="694" spans="1:9">
      <c r="A694" s="17">
        <v>501</v>
      </c>
      <c r="B694" s="17" t="s">
        <v>104</v>
      </c>
      <c r="C694" s="17" t="s">
        <v>94</v>
      </c>
      <c r="D694" s="17">
        <v>31</v>
      </c>
      <c r="E694" s="17" t="s">
        <v>95</v>
      </c>
      <c r="F694" s="17">
        <v>1</v>
      </c>
      <c r="G694" s="17" t="str">
        <f t="shared" si="9"/>
        <v>M0112-B-31-1</v>
      </c>
      <c r="H694" s="17">
        <v>149.37</v>
      </c>
      <c r="I694" s="17">
        <v>150.37</v>
      </c>
    </row>
    <row r="695" spans="1:9">
      <c r="A695" s="17">
        <v>501</v>
      </c>
      <c r="B695" s="17" t="s">
        <v>104</v>
      </c>
      <c r="C695" s="17" t="s">
        <v>94</v>
      </c>
      <c r="D695" s="17">
        <v>31</v>
      </c>
      <c r="E695" s="17" t="s">
        <v>95</v>
      </c>
      <c r="F695" s="17">
        <v>2</v>
      </c>
      <c r="G695" s="17" t="str">
        <f t="shared" si="9"/>
        <v>M0112-B-31-2</v>
      </c>
      <c r="H695" s="17">
        <v>150.37</v>
      </c>
      <c r="I695" s="17">
        <v>150.91999999999999</v>
      </c>
    </row>
    <row r="696" spans="1:9">
      <c r="A696" s="17">
        <v>501</v>
      </c>
      <c r="B696" s="17" t="s">
        <v>104</v>
      </c>
      <c r="C696" s="17" t="s">
        <v>94</v>
      </c>
      <c r="D696" s="17">
        <v>35</v>
      </c>
      <c r="E696" s="17" t="s">
        <v>95</v>
      </c>
      <c r="F696" s="17">
        <v>1</v>
      </c>
      <c r="G696" s="17" t="str">
        <f t="shared" ref="G696:G759" si="10">CONCATENATE(B696, "-",C696, "-", D696, "-", F696)</f>
        <v>M0112-B-35-1</v>
      </c>
      <c r="H696" s="17">
        <v>200</v>
      </c>
      <c r="I696" s="17">
        <v>200.27</v>
      </c>
    </row>
    <row r="697" spans="1:9">
      <c r="A697" s="17">
        <v>501</v>
      </c>
      <c r="B697" s="17" t="s">
        <v>104</v>
      </c>
      <c r="C697" s="17" t="s">
        <v>94</v>
      </c>
      <c r="D697" s="17">
        <v>36</v>
      </c>
      <c r="E697" s="17" t="s">
        <v>95</v>
      </c>
      <c r="F697" s="17">
        <v>1</v>
      </c>
      <c r="G697" s="17" t="str">
        <f t="shared" si="10"/>
        <v>M0112-B-36-1</v>
      </c>
      <c r="H697" s="17">
        <v>201.82</v>
      </c>
      <c r="I697" s="17">
        <v>201.97</v>
      </c>
    </row>
    <row r="698" spans="1:9">
      <c r="A698" s="17">
        <v>501</v>
      </c>
      <c r="B698" s="17" t="s">
        <v>104</v>
      </c>
      <c r="C698" s="17" t="s">
        <v>94</v>
      </c>
      <c r="D698" s="17">
        <v>37</v>
      </c>
      <c r="E698" s="17" t="s">
        <v>95</v>
      </c>
      <c r="F698" s="17">
        <v>1</v>
      </c>
      <c r="G698" s="17" t="str">
        <f t="shared" si="10"/>
        <v>M0112-B-37-1</v>
      </c>
      <c r="H698" s="17">
        <v>203.32</v>
      </c>
      <c r="I698" s="17">
        <v>203.77</v>
      </c>
    </row>
    <row r="699" spans="1:9">
      <c r="A699" s="17">
        <v>501</v>
      </c>
      <c r="B699" s="17" t="s">
        <v>104</v>
      </c>
      <c r="C699" s="17" t="s">
        <v>94</v>
      </c>
      <c r="D699" s="17">
        <v>39</v>
      </c>
      <c r="E699" s="17" t="s">
        <v>95</v>
      </c>
      <c r="F699" s="17">
        <v>1</v>
      </c>
      <c r="G699" s="17" t="str">
        <f t="shared" si="10"/>
        <v>M0112-B-39-1</v>
      </c>
      <c r="H699" s="17">
        <v>230.32</v>
      </c>
      <c r="I699" s="17">
        <v>231.39</v>
      </c>
    </row>
    <row r="700" spans="1:9">
      <c r="A700" s="17">
        <v>501</v>
      </c>
      <c r="B700" s="17" t="s">
        <v>104</v>
      </c>
      <c r="C700" s="17" t="s">
        <v>94</v>
      </c>
      <c r="D700" s="17">
        <v>40</v>
      </c>
      <c r="E700" s="17" t="s">
        <v>95</v>
      </c>
      <c r="F700" s="17">
        <v>1</v>
      </c>
      <c r="G700" s="17" t="str">
        <f t="shared" si="10"/>
        <v>M0112-B-40-1</v>
      </c>
      <c r="H700" s="17">
        <v>231.82</v>
      </c>
      <c r="I700" s="17">
        <v>232.72</v>
      </c>
    </row>
    <row r="701" spans="1:9">
      <c r="A701" s="17">
        <v>501</v>
      </c>
      <c r="B701" s="17" t="s">
        <v>104</v>
      </c>
      <c r="C701" s="17" t="s">
        <v>94</v>
      </c>
      <c r="D701" s="17">
        <v>40</v>
      </c>
      <c r="E701" s="17" t="s">
        <v>95</v>
      </c>
      <c r="F701" s="17">
        <v>2</v>
      </c>
      <c r="G701" s="17" t="str">
        <f t="shared" si="10"/>
        <v>M0112-B-40-2</v>
      </c>
      <c r="H701" s="17">
        <v>232.72</v>
      </c>
      <c r="I701" s="17">
        <v>232.79</v>
      </c>
    </row>
    <row r="702" spans="1:9">
      <c r="A702" s="17">
        <v>501</v>
      </c>
      <c r="B702" s="17" t="s">
        <v>104</v>
      </c>
      <c r="C702" s="17" t="s">
        <v>94</v>
      </c>
      <c r="D702" s="17">
        <v>41</v>
      </c>
      <c r="E702" s="17" t="s">
        <v>95</v>
      </c>
      <c r="F702" s="17">
        <v>1</v>
      </c>
      <c r="G702" s="17" t="str">
        <f t="shared" si="10"/>
        <v>M0112-B-41-1</v>
      </c>
      <c r="H702" s="17">
        <v>234.82</v>
      </c>
      <c r="I702" s="17">
        <v>235.7</v>
      </c>
    </row>
    <row r="703" spans="1:9">
      <c r="A703" s="17">
        <v>501</v>
      </c>
      <c r="B703" s="17" t="s">
        <v>104</v>
      </c>
      <c r="C703" s="17" t="s">
        <v>94</v>
      </c>
      <c r="D703" s="17">
        <v>41</v>
      </c>
      <c r="E703" s="17" t="s">
        <v>95</v>
      </c>
      <c r="F703" s="17">
        <v>2</v>
      </c>
      <c r="G703" s="17" t="str">
        <f t="shared" si="10"/>
        <v>M0112-B-41-2</v>
      </c>
      <c r="H703" s="17">
        <v>235.7</v>
      </c>
      <c r="I703" s="17">
        <v>236.25</v>
      </c>
    </row>
    <row r="704" spans="1:9">
      <c r="A704" s="17">
        <v>501</v>
      </c>
      <c r="B704" s="17" t="s">
        <v>104</v>
      </c>
      <c r="C704" s="17" t="s">
        <v>94</v>
      </c>
      <c r="D704" s="17">
        <v>42</v>
      </c>
      <c r="E704" s="17" t="s">
        <v>95</v>
      </c>
      <c r="F704" s="17">
        <v>1</v>
      </c>
      <c r="G704" s="17" t="str">
        <f t="shared" si="10"/>
        <v>M0112-B-42-1</v>
      </c>
      <c r="H704" s="17">
        <v>236.32</v>
      </c>
      <c r="I704" s="17">
        <v>236.93</v>
      </c>
    </row>
    <row r="705" spans="1:9">
      <c r="A705" s="17">
        <v>501</v>
      </c>
      <c r="B705" s="17" t="s">
        <v>104</v>
      </c>
      <c r="C705" s="17" t="s">
        <v>94</v>
      </c>
      <c r="D705" s="17">
        <v>42</v>
      </c>
      <c r="E705" s="17" t="s">
        <v>95</v>
      </c>
      <c r="F705" s="17">
        <v>2</v>
      </c>
      <c r="G705" s="17" t="str">
        <f t="shared" si="10"/>
        <v>M0112-B-42-2</v>
      </c>
      <c r="H705" s="17">
        <v>236.93</v>
      </c>
      <c r="I705" s="17">
        <v>237.05</v>
      </c>
    </row>
    <row r="706" spans="1:9">
      <c r="A706" s="17">
        <v>501</v>
      </c>
      <c r="B706" s="17" t="s">
        <v>104</v>
      </c>
      <c r="C706" s="17" t="s">
        <v>94</v>
      </c>
      <c r="D706" s="17">
        <v>43</v>
      </c>
      <c r="E706" s="17" t="s">
        <v>95</v>
      </c>
      <c r="F706" s="17">
        <v>1</v>
      </c>
      <c r="G706" s="17" t="str">
        <f t="shared" si="10"/>
        <v>M0112-B-43-1</v>
      </c>
      <c r="H706" s="17">
        <v>237.82</v>
      </c>
      <c r="I706" s="17">
        <v>238.9</v>
      </c>
    </row>
    <row r="707" spans="1:9">
      <c r="A707" s="17">
        <v>501</v>
      </c>
      <c r="B707" s="17" t="s">
        <v>104</v>
      </c>
      <c r="C707" s="17" t="s">
        <v>94</v>
      </c>
      <c r="D707" s="17">
        <v>44</v>
      </c>
      <c r="E707" s="17" t="s">
        <v>95</v>
      </c>
      <c r="F707" s="17">
        <v>1</v>
      </c>
      <c r="G707" s="17" t="str">
        <f t="shared" si="10"/>
        <v>M0112-B-44-1</v>
      </c>
      <c r="H707" s="17">
        <v>239.32</v>
      </c>
      <c r="I707" s="17">
        <v>240.44</v>
      </c>
    </row>
    <row r="708" spans="1:9">
      <c r="A708" s="17">
        <v>501</v>
      </c>
      <c r="B708" s="17" t="s">
        <v>104</v>
      </c>
      <c r="C708" s="17" t="s">
        <v>94</v>
      </c>
      <c r="D708" s="17">
        <v>45</v>
      </c>
      <c r="E708" s="17" t="s">
        <v>95</v>
      </c>
      <c r="F708" s="17">
        <v>1</v>
      </c>
      <c r="G708" s="17" t="str">
        <f t="shared" si="10"/>
        <v>M0112-B-45-1</v>
      </c>
      <c r="H708" s="17">
        <v>240.82</v>
      </c>
      <c r="I708" s="17">
        <v>242.06</v>
      </c>
    </row>
    <row r="709" spans="1:9">
      <c r="A709" s="17">
        <v>501</v>
      </c>
      <c r="B709" s="17" t="s">
        <v>104</v>
      </c>
      <c r="C709" s="17" t="s">
        <v>94</v>
      </c>
      <c r="D709" s="17">
        <v>46</v>
      </c>
      <c r="E709" s="17" t="s">
        <v>95</v>
      </c>
      <c r="F709" s="17">
        <v>1</v>
      </c>
      <c r="G709" s="17" t="str">
        <f t="shared" si="10"/>
        <v>M0112-B-46-1</v>
      </c>
      <c r="H709" s="17">
        <v>242.32</v>
      </c>
      <c r="I709" s="17">
        <v>243.75</v>
      </c>
    </row>
    <row r="710" spans="1:9">
      <c r="A710" s="17">
        <v>501</v>
      </c>
      <c r="B710" s="17" t="s">
        <v>104</v>
      </c>
      <c r="C710" s="17" t="s">
        <v>94</v>
      </c>
      <c r="D710" s="17">
        <v>47</v>
      </c>
      <c r="E710" s="17" t="s">
        <v>95</v>
      </c>
      <c r="F710" s="17">
        <v>1</v>
      </c>
      <c r="G710" s="17" t="str">
        <f t="shared" si="10"/>
        <v>M0112-B-47-1</v>
      </c>
      <c r="H710" s="17">
        <v>243.82</v>
      </c>
      <c r="I710" s="17">
        <v>243.93</v>
      </c>
    </row>
    <row r="711" spans="1:9">
      <c r="A711" s="17">
        <v>501</v>
      </c>
      <c r="B711" s="17" t="s">
        <v>104</v>
      </c>
      <c r="C711" s="17" t="s">
        <v>94</v>
      </c>
      <c r="D711" s="17">
        <v>48</v>
      </c>
      <c r="E711" s="17" t="s">
        <v>95</v>
      </c>
      <c r="F711" s="17">
        <v>1</v>
      </c>
      <c r="G711" s="17" t="str">
        <f t="shared" si="10"/>
        <v>M0112-B-48-1</v>
      </c>
      <c r="H711" s="17">
        <v>245.32</v>
      </c>
      <c r="I711" s="17">
        <v>245.45</v>
      </c>
    </row>
    <row r="712" spans="1:9">
      <c r="A712" s="17">
        <v>501</v>
      </c>
      <c r="B712" s="17" t="s">
        <v>104</v>
      </c>
      <c r="C712" s="17" t="s">
        <v>94</v>
      </c>
      <c r="D712" s="17">
        <v>49</v>
      </c>
      <c r="E712" s="17" t="s">
        <v>95</v>
      </c>
      <c r="F712" s="17">
        <v>1</v>
      </c>
      <c r="G712" s="17" t="str">
        <f t="shared" si="10"/>
        <v>M0112-B-49-1</v>
      </c>
      <c r="H712" s="17">
        <v>246.82</v>
      </c>
      <c r="I712" s="17">
        <v>248.32</v>
      </c>
    </row>
    <row r="713" spans="1:9">
      <c r="A713" s="17">
        <v>501</v>
      </c>
      <c r="B713" s="17" t="s">
        <v>104</v>
      </c>
      <c r="C713" s="17" t="s">
        <v>94</v>
      </c>
      <c r="D713" s="17">
        <v>49</v>
      </c>
      <c r="E713" s="17" t="s">
        <v>95</v>
      </c>
      <c r="F713" s="17">
        <v>2</v>
      </c>
      <c r="G713" s="17" t="str">
        <f t="shared" si="10"/>
        <v>M0112-B-49-2</v>
      </c>
      <c r="H713" s="17">
        <v>248.32</v>
      </c>
      <c r="I713" s="17">
        <v>248.77</v>
      </c>
    </row>
    <row r="714" spans="1:9">
      <c r="A714" s="17">
        <v>501</v>
      </c>
      <c r="B714" s="17" t="s">
        <v>104</v>
      </c>
      <c r="C714" s="17" t="s">
        <v>94</v>
      </c>
      <c r="D714" s="17">
        <v>49</v>
      </c>
      <c r="E714" s="17" t="s">
        <v>95</v>
      </c>
      <c r="F714" s="17">
        <v>3</v>
      </c>
      <c r="G714" s="17" t="str">
        <f t="shared" si="10"/>
        <v>M0112-B-49-3</v>
      </c>
      <c r="H714" s="17">
        <v>248.77</v>
      </c>
      <c r="I714" s="17">
        <v>248.85</v>
      </c>
    </row>
    <row r="715" spans="1:9">
      <c r="A715" s="17">
        <v>501</v>
      </c>
      <c r="B715" s="17" t="s">
        <v>104</v>
      </c>
      <c r="C715" s="17" t="s">
        <v>94</v>
      </c>
      <c r="D715" s="17">
        <v>50</v>
      </c>
      <c r="E715" s="17" t="s">
        <v>95</v>
      </c>
      <c r="F715" s="17">
        <v>1</v>
      </c>
      <c r="G715" s="17" t="str">
        <f t="shared" si="10"/>
        <v>M0112-B-50-1</v>
      </c>
      <c r="H715" s="17">
        <v>249.82</v>
      </c>
      <c r="I715" s="17">
        <v>250.24</v>
      </c>
    </row>
    <row r="716" spans="1:9">
      <c r="A716" s="17">
        <v>501</v>
      </c>
      <c r="B716" s="17" t="s">
        <v>104</v>
      </c>
      <c r="C716" s="17" t="s">
        <v>94</v>
      </c>
      <c r="D716" s="17">
        <v>51</v>
      </c>
      <c r="E716" s="17" t="s">
        <v>95</v>
      </c>
      <c r="F716" s="17">
        <v>1</v>
      </c>
      <c r="G716" s="17" t="str">
        <f t="shared" si="10"/>
        <v>M0112-B-51-1</v>
      </c>
      <c r="H716" s="17">
        <v>250.82</v>
      </c>
      <c r="I716" s="17">
        <v>251.11</v>
      </c>
    </row>
    <row r="717" spans="1:9">
      <c r="A717" s="17">
        <v>501</v>
      </c>
      <c r="B717" s="17" t="s">
        <v>104</v>
      </c>
      <c r="C717" s="17" t="s">
        <v>94</v>
      </c>
      <c r="D717" s="17">
        <v>52</v>
      </c>
      <c r="E717" s="17" t="s">
        <v>95</v>
      </c>
      <c r="F717" s="17">
        <v>1</v>
      </c>
      <c r="G717" s="17" t="str">
        <f t="shared" si="10"/>
        <v>M0112-B-52-1</v>
      </c>
      <c r="H717" s="17">
        <v>252.82</v>
      </c>
      <c r="I717" s="17">
        <v>252.98</v>
      </c>
    </row>
    <row r="718" spans="1:9">
      <c r="A718" s="17">
        <v>501</v>
      </c>
      <c r="B718" s="17" t="s">
        <v>104</v>
      </c>
      <c r="C718" s="17" t="s">
        <v>94</v>
      </c>
      <c r="D718" s="17">
        <v>53</v>
      </c>
      <c r="E718" s="17" t="s">
        <v>95</v>
      </c>
      <c r="F718" s="17">
        <v>1</v>
      </c>
      <c r="G718" s="17" t="str">
        <f t="shared" si="10"/>
        <v>M0112-B-53-1</v>
      </c>
      <c r="H718" s="17">
        <v>254.42</v>
      </c>
      <c r="I718" s="17">
        <v>254.54</v>
      </c>
    </row>
    <row r="719" spans="1:9">
      <c r="A719" s="17">
        <v>501</v>
      </c>
      <c r="B719" s="17" t="s">
        <v>104</v>
      </c>
      <c r="C719" s="17" t="s">
        <v>94</v>
      </c>
      <c r="D719" s="17">
        <v>54</v>
      </c>
      <c r="E719" s="17" t="s">
        <v>103</v>
      </c>
      <c r="F719" s="17">
        <v>1</v>
      </c>
      <c r="G719" s="17" t="str">
        <f t="shared" si="10"/>
        <v>M0112-B-54-1</v>
      </c>
      <c r="H719" s="17">
        <v>235.82</v>
      </c>
      <c r="I719" s="17">
        <v>255.82</v>
      </c>
    </row>
    <row r="720" spans="1:9">
      <c r="A720" s="17">
        <v>501</v>
      </c>
      <c r="B720" s="17" t="s">
        <v>104</v>
      </c>
      <c r="C720" s="17" t="s">
        <v>94</v>
      </c>
      <c r="D720" s="17">
        <v>56</v>
      </c>
      <c r="E720" s="17" t="s">
        <v>95</v>
      </c>
      <c r="F720" s="17">
        <v>1</v>
      </c>
      <c r="G720" s="17" t="str">
        <f t="shared" si="10"/>
        <v>M0112-B-56-1</v>
      </c>
      <c r="H720" s="17">
        <v>321.82</v>
      </c>
      <c r="I720" s="17">
        <v>322.83</v>
      </c>
    </row>
    <row r="721" spans="1:9">
      <c r="A721" s="17">
        <v>501</v>
      </c>
      <c r="B721" s="17" t="s">
        <v>104</v>
      </c>
      <c r="C721" s="17" t="s">
        <v>94</v>
      </c>
      <c r="D721" s="17">
        <v>56</v>
      </c>
      <c r="E721" s="17" t="s">
        <v>95</v>
      </c>
      <c r="F721" s="17">
        <v>2</v>
      </c>
      <c r="G721" s="17" t="str">
        <f t="shared" si="10"/>
        <v>M0112-B-56-2</v>
      </c>
      <c r="H721" s="17">
        <v>322.83</v>
      </c>
      <c r="I721" s="17">
        <v>323.5</v>
      </c>
    </row>
    <row r="722" spans="1:9">
      <c r="A722" s="17">
        <v>501</v>
      </c>
      <c r="B722" s="17" t="s">
        <v>104</v>
      </c>
      <c r="C722" s="17" t="s">
        <v>94</v>
      </c>
      <c r="D722" s="17">
        <v>56</v>
      </c>
      <c r="E722" s="17" t="s">
        <v>95</v>
      </c>
      <c r="F722" s="17">
        <v>3</v>
      </c>
      <c r="G722" s="17" t="str">
        <f t="shared" si="10"/>
        <v>M0112-B-56-3</v>
      </c>
      <c r="H722" s="17">
        <v>323.5</v>
      </c>
      <c r="I722" s="17">
        <v>323.70999999999998</v>
      </c>
    </row>
    <row r="723" spans="1:9">
      <c r="A723" s="17">
        <v>501</v>
      </c>
      <c r="B723" s="17" t="s">
        <v>104</v>
      </c>
      <c r="C723" s="17" t="s">
        <v>94</v>
      </c>
      <c r="D723" s="17">
        <v>57</v>
      </c>
      <c r="E723" s="17" t="s">
        <v>95</v>
      </c>
      <c r="F723" s="17">
        <v>1</v>
      </c>
      <c r="G723" s="17" t="str">
        <f t="shared" si="10"/>
        <v>M0112-B-57-1</v>
      </c>
      <c r="H723" s="17">
        <v>323.62</v>
      </c>
      <c r="I723" s="17">
        <v>324.13</v>
      </c>
    </row>
    <row r="724" spans="1:9">
      <c r="A724" s="17">
        <v>501</v>
      </c>
      <c r="B724" s="17" t="s">
        <v>104</v>
      </c>
      <c r="C724" s="17" t="s">
        <v>94</v>
      </c>
      <c r="D724" s="17">
        <v>57</v>
      </c>
      <c r="E724" s="17" t="s">
        <v>95</v>
      </c>
      <c r="F724" s="17">
        <v>2</v>
      </c>
      <c r="G724" s="17" t="str">
        <f t="shared" si="10"/>
        <v>M0112-B-57-2</v>
      </c>
      <c r="H724" s="17">
        <v>324.13</v>
      </c>
      <c r="I724" s="17">
        <v>324.55</v>
      </c>
    </row>
    <row r="725" spans="1:9">
      <c r="A725" s="17">
        <v>501</v>
      </c>
      <c r="B725" s="17" t="s">
        <v>104</v>
      </c>
      <c r="C725" s="17" t="s">
        <v>94</v>
      </c>
      <c r="D725" s="17">
        <v>58</v>
      </c>
      <c r="E725" s="17" t="s">
        <v>95</v>
      </c>
      <c r="F725" s="17">
        <v>1</v>
      </c>
      <c r="G725" s="17" t="str">
        <f t="shared" si="10"/>
        <v>M0112-B-58-1</v>
      </c>
      <c r="H725" s="17">
        <v>324.82</v>
      </c>
      <c r="I725" s="17">
        <v>325.70999999999998</v>
      </c>
    </row>
    <row r="726" spans="1:9">
      <c r="A726" s="17">
        <v>501</v>
      </c>
      <c r="B726" s="17" t="s">
        <v>104</v>
      </c>
      <c r="C726" s="17" t="s">
        <v>94</v>
      </c>
      <c r="D726" s="17">
        <v>59</v>
      </c>
      <c r="E726" s="17" t="s">
        <v>95</v>
      </c>
      <c r="F726" s="17">
        <v>1</v>
      </c>
      <c r="G726" s="17" t="str">
        <f t="shared" si="10"/>
        <v>M0112-B-59-1</v>
      </c>
      <c r="H726" s="17">
        <v>327.82</v>
      </c>
      <c r="I726" s="17">
        <v>327.91</v>
      </c>
    </row>
    <row r="727" spans="1:9">
      <c r="A727" s="17">
        <v>501</v>
      </c>
      <c r="B727" s="17" t="s">
        <v>104</v>
      </c>
      <c r="C727" s="17" t="s">
        <v>94</v>
      </c>
      <c r="D727" s="17">
        <v>60</v>
      </c>
      <c r="E727" s="17" t="s">
        <v>95</v>
      </c>
      <c r="F727" s="17">
        <v>1</v>
      </c>
      <c r="G727" s="17" t="str">
        <f t="shared" si="10"/>
        <v>M0112-B-60-1</v>
      </c>
      <c r="H727" s="17">
        <v>329.32</v>
      </c>
      <c r="I727" s="17">
        <v>329.33</v>
      </c>
    </row>
    <row r="728" spans="1:9">
      <c r="A728" s="17">
        <v>501</v>
      </c>
      <c r="B728" s="17" t="s">
        <v>104</v>
      </c>
      <c r="C728" s="17" t="s">
        <v>94</v>
      </c>
      <c r="D728" s="17">
        <v>61</v>
      </c>
      <c r="E728" s="17" t="s">
        <v>95</v>
      </c>
      <c r="F728" s="17">
        <v>1</v>
      </c>
      <c r="G728" s="17" t="str">
        <f t="shared" si="10"/>
        <v>M0112-B-61-1</v>
      </c>
      <c r="H728" s="17">
        <v>330.82</v>
      </c>
      <c r="I728" s="17">
        <v>331.44</v>
      </c>
    </row>
    <row r="729" spans="1:9">
      <c r="A729" s="17">
        <v>501</v>
      </c>
      <c r="B729" s="17" t="s">
        <v>104</v>
      </c>
      <c r="C729" s="17" t="s">
        <v>94</v>
      </c>
      <c r="D729" s="17">
        <v>63</v>
      </c>
      <c r="E729" s="17" t="s">
        <v>95</v>
      </c>
      <c r="F729" s="17">
        <v>1</v>
      </c>
      <c r="G729" s="17" t="str">
        <f t="shared" si="10"/>
        <v>M0112-B-63-1</v>
      </c>
      <c r="H729" s="17">
        <v>333.82</v>
      </c>
      <c r="I729" s="17">
        <v>334.66</v>
      </c>
    </row>
    <row r="730" spans="1:9">
      <c r="A730" s="17">
        <v>501</v>
      </c>
      <c r="B730" s="17" t="s">
        <v>104</v>
      </c>
      <c r="C730" s="17" t="s">
        <v>94</v>
      </c>
      <c r="D730" s="17">
        <v>64</v>
      </c>
      <c r="E730" s="17" t="s">
        <v>95</v>
      </c>
      <c r="F730" s="17">
        <v>1</v>
      </c>
      <c r="G730" s="17" t="str">
        <f t="shared" si="10"/>
        <v>M0112-B-64-1</v>
      </c>
      <c r="H730" s="17">
        <v>335.32</v>
      </c>
      <c r="I730" s="17">
        <v>336.25</v>
      </c>
    </row>
    <row r="731" spans="1:9">
      <c r="A731" s="17">
        <v>501</v>
      </c>
      <c r="B731" s="17" t="s">
        <v>104</v>
      </c>
      <c r="C731" s="17" t="s">
        <v>94</v>
      </c>
      <c r="D731" s="17">
        <v>65</v>
      </c>
      <c r="E731" s="17" t="s">
        <v>95</v>
      </c>
      <c r="F731" s="17">
        <v>1</v>
      </c>
      <c r="G731" s="17" t="str">
        <f t="shared" si="10"/>
        <v>M0112-B-65-1</v>
      </c>
      <c r="H731" s="17">
        <v>336.82</v>
      </c>
      <c r="I731" s="17">
        <v>337.82</v>
      </c>
    </row>
    <row r="732" spans="1:9">
      <c r="A732" s="17">
        <v>501</v>
      </c>
      <c r="B732" s="17" t="s">
        <v>105</v>
      </c>
      <c r="C732" s="17" t="s">
        <v>92</v>
      </c>
      <c r="D732" s="17">
        <v>1</v>
      </c>
      <c r="E732" s="17" t="s">
        <v>93</v>
      </c>
      <c r="F732" s="17">
        <v>1</v>
      </c>
      <c r="G732" s="17" t="str">
        <f t="shared" si="10"/>
        <v>M0113-A-1-1</v>
      </c>
      <c r="H732" s="17">
        <v>0</v>
      </c>
      <c r="I732" s="17">
        <v>1.5</v>
      </c>
    </row>
    <row r="733" spans="1:9">
      <c r="A733" s="17">
        <v>501</v>
      </c>
      <c r="B733" s="17" t="s">
        <v>105</v>
      </c>
      <c r="C733" s="17" t="s">
        <v>92</v>
      </c>
      <c r="D733" s="17">
        <v>1</v>
      </c>
      <c r="E733" s="17" t="s">
        <v>93</v>
      </c>
      <c r="F733" s="17">
        <v>2</v>
      </c>
      <c r="G733" s="17" t="str">
        <f t="shared" si="10"/>
        <v>M0113-A-1-2</v>
      </c>
      <c r="H733" s="17">
        <v>1.5</v>
      </c>
      <c r="I733" s="17">
        <v>2.9</v>
      </c>
    </row>
    <row r="734" spans="1:9">
      <c r="A734" s="17">
        <v>501</v>
      </c>
      <c r="B734" s="17" t="s">
        <v>105</v>
      </c>
      <c r="C734" s="17" t="s">
        <v>92</v>
      </c>
      <c r="D734" s="17">
        <v>2</v>
      </c>
      <c r="E734" s="17" t="s">
        <v>93</v>
      </c>
      <c r="F734" s="17">
        <v>1</v>
      </c>
      <c r="G734" s="17" t="str">
        <f t="shared" si="10"/>
        <v>M0113-A-2-1</v>
      </c>
      <c r="H734" s="17">
        <v>2.9</v>
      </c>
      <c r="I734" s="17">
        <v>4.4000000000000004</v>
      </c>
    </row>
    <row r="735" spans="1:9">
      <c r="A735" s="17">
        <v>501</v>
      </c>
      <c r="B735" s="17" t="s">
        <v>105</v>
      </c>
      <c r="C735" s="17" t="s">
        <v>92</v>
      </c>
      <c r="D735" s="17">
        <v>2</v>
      </c>
      <c r="E735" s="17" t="s">
        <v>93</v>
      </c>
      <c r="F735" s="17">
        <v>2</v>
      </c>
      <c r="G735" s="17" t="str">
        <f t="shared" si="10"/>
        <v>M0113-A-2-2</v>
      </c>
      <c r="H735" s="17">
        <v>4.4000000000000004</v>
      </c>
      <c r="I735" s="17">
        <v>5.3</v>
      </c>
    </row>
    <row r="736" spans="1:9">
      <c r="A736" s="17">
        <v>501</v>
      </c>
      <c r="B736" s="17" t="s">
        <v>105</v>
      </c>
      <c r="C736" s="17" t="s">
        <v>92</v>
      </c>
      <c r="D736" s="17">
        <v>3</v>
      </c>
      <c r="E736" s="17" t="s">
        <v>93</v>
      </c>
      <c r="F736" s="17">
        <v>1</v>
      </c>
      <c r="G736" s="17" t="str">
        <f t="shared" si="10"/>
        <v>M0113-A-3-1</v>
      </c>
      <c r="H736" s="17">
        <v>5.3</v>
      </c>
      <c r="I736" s="17">
        <v>6.8</v>
      </c>
    </row>
    <row r="737" spans="1:9">
      <c r="A737" s="17">
        <v>501</v>
      </c>
      <c r="B737" s="17" t="s">
        <v>105</v>
      </c>
      <c r="C737" s="17" t="s">
        <v>92</v>
      </c>
      <c r="D737" s="17">
        <v>3</v>
      </c>
      <c r="E737" s="17" t="s">
        <v>93</v>
      </c>
      <c r="F737" s="17">
        <v>2</v>
      </c>
      <c r="G737" s="17" t="str">
        <f t="shared" si="10"/>
        <v>M0113-A-3-2</v>
      </c>
      <c r="H737" s="17">
        <v>6.8</v>
      </c>
      <c r="I737" s="17">
        <v>8</v>
      </c>
    </row>
    <row r="738" spans="1:9">
      <c r="A738" s="17">
        <v>501</v>
      </c>
      <c r="B738" s="17" t="s">
        <v>105</v>
      </c>
      <c r="C738" s="17" t="s">
        <v>92</v>
      </c>
      <c r="D738" s="17">
        <v>4</v>
      </c>
      <c r="E738" s="17" t="s">
        <v>93</v>
      </c>
      <c r="F738" s="17">
        <v>1</v>
      </c>
      <c r="G738" s="17" t="str">
        <f t="shared" si="10"/>
        <v>M0113-A-4-1</v>
      </c>
      <c r="H738" s="17">
        <v>8</v>
      </c>
      <c r="I738" s="17">
        <v>9.5</v>
      </c>
    </row>
    <row r="739" spans="1:9">
      <c r="A739" s="17">
        <v>501</v>
      </c>
      <c r="B739" s="17" t="s">
        <v>105</v>
      </c>
      <c r="C739" s="17" t="s">
        <v>92</v>
      </c>
      <c r="D739" s="17">
        <v>4</v>
      </c>
      <c r="E739" s="17" t="s">
        <v>93</v>
      </c>
      <c r="F739" s="17">
        <v>2</v>
      </c>
      <c r="G739" s="17" t="str">
        <f t="shared" si="10"/>
        <v>M0113-A-4-2</v>
      </c>
      <c r="H739" s="17">
        <v>9.5</v>
      </c>
      <c r="I739" s="17">
        <v>10.5</v>
      </c>
    </row>
    <row r="740" spans="1:9">
      <c r="A740" s="17">
        <v>501</v>
      </c>
      <c r="B740" s="17" t="s">
        <v>105</v>
      </c>
      <c r="C740" s="17" t="s">
        <v>92</v>
      </c>
      <c r="D740" s="17">
        <v>5</v>
      </c>
      <c r="E740" s="17" t="s">
        <v>93</v>
      </c>
      <c r="F740" s="17">
        <v>1</v>
      </c>
      <c r="G740" s="17" t="str">
        <f t="shared" si="10"/>
        <v>M0113-A-5-1</v>
      </c>
      <c r="H740" s="17">
        <v>10.5</v>
      </c>
      <c r="I740" s="17">
        <v>11</v>
      </c>
    </row>
    <row r="741" spans="1:9">
      <c r="A741" s="17">
        <v>501</v>
      </c>
      <c r="B741" s="17" t="s">
        <v>105</v>
      </c>
      <c r="C741" s="17" t="s">
        <v>92</v>
      </c>
      <c r="D741" s="17">
        <v>6</v>
      </c>
      <c r="E741" s="17" t="s">
        <v>93</v>
      </c>
      <c r="F741" s="17">
        <v>1</v>
      </c>
      <c r="G741" s="17" t="str">
        <f t="shared" si="10"/>
        <v>M0113-A-6-1</v>
      </c>
      <c r="H741" s="17">
        <v>11</v>
      </c>
      <c r="I741" s="17">
        <v>12.51</v>
      </c>
    </row>
    <row r="742" spans="1:9">
      <c r="A742" s="17">
        <v>501</v>
      </c>
      <c r="B742" s="17" t="s">
        <v>105</v>
      </c>
      <c r="C742" s="17" t="s">
        <v>92</v>
      </c>
      <c r="D742" s="17">
        <v>6</v>
      </c>
      <c r="E742" s="17" t="s">
        <v>93</v>
      </c>
      <c r="F742" s="17">
        <v>2</v>
      </c>
      <c r="G742" s="17" t="str">
        <f t="shared" si="10"/>
        <v>M0113-A-6-2</v>
      </c>
      <c r="H742" s="17">
        <v>12.51</v>
      </c>
      <c r="I742" s="17">
        <v>13.77</v>
      </c>
    </row>
    <row r="743" spans="1:9">
      <c r="A743" s="17">
        <v>501</v>
      </c>
      <c r="B743" s="17" t="s">
        <v>105</v>
      </c>
      <c r="C743" s="17" t="s">
        <v>92</v>
      </c>
      <c r="D743" s="17">
        <v>7</v>
      </c>
      <c r="E743" s="17" t="s">
        <v>93</v>
      </c>
      <c r="F743" s="17">
        <v>1</v>
      </c>
      <c r="G743" s="17" t="str">
        <f t="shared" si="10"/>
        <v>M0113-A-7-1</v>
      </c>
      <c r="H743" s="17">
        <v>13.77</v>
      </c>
      <c r="I743" s="17">
        <v>15.27</v>
      </c>
    </row>
    <row r="744" spans="1:9">
      <c r="A744" s="17">
        <v>501</v>
      </c>
      <c r="B744" s="17" t="s">
        <v>105</v>
      </c>
      <c r="C744" s="17" t="s">
        <v>92</v>
      </c>
      <c r="D744" s="17">
        <v>7</v>
      </c>
      <c r="E744" s="17" t="s">
        <v>93</v>
      </c>
      <c r="F744" s="17">
        <v>2</v>
      </c>
      <c r="G744" s="17" t="str">
        <f t="shared" si="10"/>
        <v>M0113-A-7-2</v>
      </c>
      <c r="H744" s="17">
        <v>15.27</v>
      </c>
      <c r="I744" s="17">
        <v>15.88</v>
      </c>
    </row>
    <row r="745" spans="1:9">
      <c r="A745" s="17">
        <v>501</v>
      </c>
      <c r="B745" s="17" t="s">
        <v>105</v>
      </c>
      <c r="C745" s="17" t="s">
        <v>92</v>
      </c>
      <c r="D745" s="17">
        <v>8</v>
      </c>
      <c r="E745" s="17" t="s">
        <v>93</v>
      </c>
      <c r="F745" s="17">
        <v>1</v>
      </c>
      <c r="G745" s="17" t="str">
        <f t="shared" si="10"/>
        <v>M0113-A-8-1</v>
      </c>
      <c r="H745" s="17">
        <v>15.88</v>
      </c>
      <c r="I745" s="17">
        <v>17.23</v>
      </c>
    </row>
    <row r="746" spans="1:9">
      <c r="A746" s="17">
        <v>501</v>
      </c>
      <c r="B746" s="17" t="s">
        <v>105</v>
      </c>
      <c r="C746" s="17" t="s">
        <v>92</v>
      </c>
      <c r="D746" s="17">
        <v>9</v>
      </c>
      <c r="E746" s="17" t="s">
        <v>93</v>
      </c>
      <c r="F746" s="17">
        <v>1</v>
      </c>
      <c r="G746" s="17" t="str">
        <f t="shared" si="10"/>
        <v>M0113-A-9-1</v>
      </c>
      <c r="H746" s="17">
        <v>17.23</v>
      </c>
      <c r="I746" s="17">
        <v>18.73</v>
      </c>
    </row>
    <row r="747" spans="1:9">
      <c r="A747" s="17">
        <v>501</v>
      </c>
      <c r="B747" s="17" t="s">
        <v>105</v>
      </c>
      <c r="C747" s="17" t="s">
        <v>92</v>
      </c>
      <c r="D747" s="17">
        <v>9</v>
      </c>
      <c r="E747" s="17" t="s">
        <v>93</v>
      </c>
      <c r="F747" s="17">
        <v>2</v>
      </c>
      <c r="G747" s="17" t="str">
        <f t="shared" si="10"/>
        <v>M0113-A-9-2</v>
      </c>
      <c r="H747" s="17">
        <v>18.73</v>
      </c>
      <c r="I747" s="17">
        <v>19.190000000000001</v>
      </c>
    </row>
    <row r="748" spans="1:9">
      <c r="A748" s="17">
        <v>501</v>
      </c>
      <c r="B748" s="17" t="s">
        <v>105</v>
      </c>
      <c r="C748" s="17" t="s">
        <v>92</v>
      </c>
      <c r="D748" s="17">
        <v>10</v>
      </c>
      <c r="E748" s="17" t="s">
        <v>93</v>
      </c>
      <c r="F748" s="17">
        <v>1</v>
      </c>
      <c r="G748" s="17" t="str">
        <f t="shared" si="10"/>
        <v>M0113-A-10-1</v>
      </c>
      <c r="H748" s="17">
        <v>19.190000000000001</v>
      </c>
      <c r="I748" s="17">
        <v>20.69</v>
      </c>
    </row>
    <row r="749" spans="1:9">
      <c r="A749" s="17">
        <v>501</v>
      </c>
      <c r="B749" s="17" t="s">
        <v>105</v>
      </c>
      <c r="C749" s="17" t="s">
        <v>92</v>
      </c>
      <c r="D749" s="17">
        <v>10</v>
      </c>
      <c r="E749" s="17" t="s">
        <v>93</v>
      </c>
      <c r="F749" s="17">
        <v>2</v>
      </c>
      <c r="G749" s="17" t="str">
        <f t="shared" si="10"/>
        <v>M0113-A-10-2</v>
      </c>
      <c r="H749" s="17">
        <v>20.69</v>
      </c>
      <c r="I749" s="17">
        <v>21.38</v>
      </c>
    </row>
    <row r="750" spans="1:9">
      <c r="A750" s="17">
        <v>501</v>
      </c>
      <c r="B750" s="17" t="s">
        <v>105</v>
      </c>
      <c r="C750" s="17" t="s">
        <v>92</v>
      </c>
      <c r="D750" s="17">
        <v>11</v>
      </c>
      <c r="E750" s="17" t="s">
        <v>93</v>
      </c>
      <c r="F750" s="17">
        <v>1</v>
      </c>
      <c r="G750" s="17" t="str">
        <f t="shared" si="10"/>
        <v>M0113-A-11-1</v>
      </c>
      <c r="H750" s="17">
        <v>21.38</v>
      </c>
      <c r="I750" s="17">
        <v>21.98</v>
      </c>
    </row>
    <row r="751" spans="1:9">
      <c r="A751" s="17">
        <v>501</v>
      </c>
      <c r="B751" s="17" t="s">
        <v>105</v>
      </c>
      <c r="C751" s="17" t="s">
        <v>92</v>
      </c>
      <c r="D751" s="17">
        <v>11</v>
      </c>
      <c r="E751" s="17" t="s">
        <v>93</v>
      </c>
      <c r="F751" s="17">
        <v>2</v>
      </c>
      <c r="G751" s="17" t="str">
        <f t="shared" si="10"/>
        <v>M0113-A-11-2</v>
      </c>
      <c r="H751" s="17">
        <v>21.98</v>
      </c>
      <c r="I751" s="17">
        <v>22.51</v>
      </c>
    </row>
    <row r="752" spans="1:9">
      <c r="A752" s="17">
        <v>501</v>
      </c>
      <c r="B752" s="17" t="s">
        <v>105</v>
      </c>
      <c r="C752" s="17" t="s">
        <v>92</v>
      </c>
      <c r="D752" s="17">
        <v>12</v>
      </c>
      <c r="E752" s="17" t="s">
        <v>93</v>
      </c>
      <c r="F752" s="17">
        <v>1</v>
      </c>
      <c r="G752" s="17" t="str">
        <f t="shared" si="10"/>
        <v>M0113-A-12-1</v>
      </c>
      <c r="H752" s="17">
        <v>22.51</v>
      </c>
      <c r="I752" s="17">
        <v>24.02</v>
      </c>
    </row>
    <row r="753" spans="1:9">
      <c r="A753" s="17">
        <v>501</v>
      </c>
      <c r="B753" s="17" t="s">
        <v>105</v>
      </c>
      <c r="C753" s="17" t="s">
        <v>92</v>
      </c>
      <c r="D753" s="17">
        <v>13</v>
      </c>
      <c r="E753" s="17" t="s">
        <v>93</v>
      </c>
      <c r="F753" s="17">
        <v>1</v>
      </c>
      <c r="G753" s="17" t="str">
        <f t="shared" si="10"/>
        <v>M0113-A-13-1</v>
      </c>
      <c r="H753" s="17">
        <v>24.02</v>
      </c>
      <c r="I753" s="17">
        <v>25.39</v>
      </c>
    </row>
    <row r="754" spans="1:9">
      <c r="A754" s="17">
        <v>501</v>
      </c>
      <c r="B754" s="17" t="s">
        <v>105</v>
      </c>
      <c r="C754" s="17" t="s">
        <v>92</v>
      </c>
      <c r="D754" s="17">
        <v>14</v>
      </c>
      <c r="E754" s="17" t="s">
        <v>93</v>
      </c>
      <c r="F754" s="17">
        <v>1</v>
      </c>
      <c r="G754" s="17" t="str">
        <f t="shared" si="10"/>
        <v>M0113-A-14-1</v>
      </c>
      <c r="H754" s="17">
        <v>25.39</v>
      </c>
      <c r="I754" s="17">
        <v>26.73</v>
      </c>
    </row>
    <row r="755" spans="1:9">
      <c r="A755" s="17">
        <v>501</v>
      </c>
      <c r="B755" s="17" t="s">
        <v>105</v>
      </c>
      <c r="C755" s="17" t="s">
        <v>92</v>
      </c>
      <c r="D755" s="17">
        <v>15</v>
      </c>
      <c r="E755" s="17" t="s">
        <v>93</v>
      </c>
      <c r="F755" s="17">
        <v>1</v>
      </c>
      <c r="G755" s="17" t="str">
        <f t="shared" si="10"/>
        <v>M0113-A-15-1</v>
      </c>
      <c r="H755" s="17">
        <v>26.73</v>
      </c>
      <c r="I755" s="17">
        <v>28.22</v>
      </c>
    </row>
    <row r="756" spans="1:9">
      <c r="A756" s="17">
        <v>501</v>
      </c>
      <c r="B756" s="17" t="s">
        <v>105</v>
      </c>
      <c r="C756" s="17" t="s">
        <v>92</v>
      </c>
      <c r="D756" s="17">
        <v>15</v>
      </c>
      <c r="E756" s="17" t="s">
        <v>93</v>
      </c>
      <c r="F756" s="17">
        <v>2</v>
      </c>
      <c r="G756" s="17" t="str">
        <f t="shared" si="10"/>
        <v>M0113-A-15-2</v>
      </c>
      <c r="H756" s="17">
        <v>28.22</v>
      </c>
      <c r="I756" s="17">
        <v>28.74</v>
      </c>
    </row>
    <row r="757" spans="1:9">
      <c r="A757" s="17">
        <v>501</v>
      </c>
      <c r="B757" s="17" t="s">
        <v>105</v>
      </c>
      <c r="C757" s="17" t="s">
        <v>92</v>
      </c>
      <c r="D757" s="17">
        <v>16</v>
      </c>
      <c r="E757" s="17" t="s">
        <v>93</v>
      </c>
      <c r="F757" s="17">
        <v>1</v>
      </c>
      <c r="G757" s="17" t="str">
        <f t="shared" si="10"/>
        <v>M0113-A-16-1</v>
      </c>
      <c r="H757" s="17">
        <v>28.74</v>
      </c>
      <c r="I757" s="17">
        <v>29.34</v>
      </c>
    </row>
    <row r="758" spans="1:9">
      <c r="A758" s="17">
        <v>501</v>
      </c>
      <c r="B758" s="17" t="s">
        <v>105</v>
      </c>
      <c r="C758" s="17" t="s">
        <v>92</v>
      </c>
      <c r="D758" s="17">
        <v>16</v>
      </c>
      <c r="E758" s="17" t="s">
        <v>93</v>
      </c>
      <c r="F758" s="17">
        <v>2</v>
      </c>
      <c r="G758" s="17" t="str">
        <f t="shared" si="10"/>
        <v>M0113-A-16-2</v>
      </c>
      <c r="H758" s="17">
        <v>29.34</v>
      </c>
      <c r="I758" s="17">
        <v>30.36</v>
      </c>
    </row>
    <row r="759" spans="1:9">
      <c r="A759" s="17">
        <v>501</v>
      </c>
      <c r="B759" s="17" t="s">
        <v>105</v>
      </c>
      <c r="C759" s="17" t="s">
        <v>92</v>
      </c>
      <c r="D759" s="17">
        <v>16</v>
      </c>
      <c r="E759" s="17" t="s">
        <v>93</v>
      </c>
      <c r="F759" s="17">
        <v>3</v>
      </c>
      <c r="G759" s="17" t="str">
        <f t="shared" si="10"/>
        <v>M0113-A-16-3</v>
      </c>
      <c r="H759" s="17">
        <v>30.36</v>
      </c>
      <c r="I759" s="17">
        <v>31.15</v>
      </c>
    </row>
    <row r="760" spans="1:9">
      <c r="A760" s="17">
        <v>501</v>
      </c>
      <c r="B760" s="17" t="s">
        <v>105</v>
      </c>
      <c r="C760" s="17" t="s">
        <v>92</v>
      </c>
      <c r="D760" s="17">
        <v>17</v>
      </c>
      <c r="E760" s="17" t="s">
        <v>93</v>
      </c>
      <c r="F760" s="17">
        <v>1</v>
      </c>
      <c r="G760" s="17" t="str">
        <f t="shared" ref="G760:G823" si="11">CONCATENATE(B760, "-",C760, "-", D760, "-", F760)</f>
        <v>M0113-A-17-1</v>
      </c>
      <c r="H760" s="17">
        <v>31.15</v>
      </c>
      <c r="I760" s="17">
        <v>32.15</v>
      </c>
    </row>
    <row r="761" spans="1:9">
      <c r="A761" s="17">
        <v>501</v>
      </c>
      <c r="B761" s="17" t="s">
        <v>105</v>
      </c>
      <c r="C761" s="17" t="s">
        <v>92</v>
      </c>
      <c r="D761" s="17">
        <v>17</v>
      </c>
      <c r="E761" s="17" t="s">
        <v>93</v>
      </c>
      <c r="F761" s="17">
        <v>2</v>
      </c>
      <c r="G761" s="17" t="str">
        <f t="shared" si="11"/>
        <v>M0113-A-17-2</v>
      </c>
      <c r="H761" s="17">
        <v>32.15</v>
      </c>
      <c r="I761" s="17">
        <v>33.03</v>
      </c>
    </row>
    <row r="762" spans="1:9">
      <c r="A762" s="17">
        <v>501</v>
      </c>
      <c r="B762" s="17" t="s">
        <v>105</v>
      </c>
      <c r="C762" s="17" t="s">
        <v>92</v>
      </c>
      <c r="D762" s="17">
        <v>18</v>
      </c>
      <c r="E762" s="17" t="s">
        <v>93</v>
      </c>
      <c r="F762" s="17">
        <v>1</v>
      </c>
      <c r="G762" s="17" t="str">
        <f t="shared" si="11"/>
        <v>M0113-A-18-1</v>
      </c>
      <c r="H762" s="17">
        <v>33.03</v>
      </c>
      <c r="I762" s="17">
        <v>34.53</v>
      </c>
    </row>
    <row r="763" spans="1:9">
      <c r="A763" s="17">
        <v>501</v>
      </c>
      <c r="B763" s="17" t="s">
        <v>105</v>
      </c>
      <c r="C763" s="17" t="s">
        <v>92</v>
      </c>
      <c r="D763" s="17">
        <v>18</v>
      </c>
      <c r="E763" s="17" t="s">
        <v>93</v>
      </c>
      <c r="F763" s="17">
        <v>2</v>
      </c>
      <c r="G763" s="17" t="str">
        <f t="shared" si="11"/>
        <v>M0113-A-18-2</v>
      </c>
      <c r="H763" s="17">
        <v>34.53</v>
      </c>
      <c r="I763" s="17">
        <v>35.36</v>
      </c>
    </row>
    <row r="764" spans="1:9">
      <c r="A764" s="17">
        <v>501</v>
      </c>
      <c r="B764" s="17" t="s">
        <v>105</v>
      </c>
      <c r="C764" s="17" t="s">
        <v>92</v>
      </c>
      <c r="D764" s="17">
        <v>19</v>
      </c>
      <c r="E764" s="17" t="s">
        <v>93</v>
      </c>
      <c r="F764" s="17">
        <v>1</v>
      </c>
      <c r="G764" s="17" t="str">
        <f t="shared" si="11"/>
        <v>M0113-A-19-1</v>
      </c>
      <c r="H764" s="17">
        <v>35.36</v>
      </c>
      <c r="I764" s="17">
        <v>36.630000000000003</v>
      </c>
    </row>
    <row r="765" spans="1:9">
      <c r="A765" s="17">
        <v>501</v>
      </c>
      <c r="B765" s="17" t="s">
        <v>105</v>
      </c>
      <c r="C765" s="17" t="s">
        <v>92</v>
      </c>
      <c r="D765" s="17">
        <v>20</v>
      </c>
      <c r="E765" s="17" t="s">
        <v>93</v>
      </c>
      <c r="F765" s="17">
        <v>1</v>
      </c>
      <c r="G765" s="17" t="str">
        <f t="shared" si="11"/>
        <v>M0113-A-20-1</v>
      </c>
      <c r="H765" s="17">
        <v>36.630000000000003</v>
      </c>
      <c r="I765" s="17">
        <v>37.630000000000003</v>
      </c>
    </row>
    <row r="766" spans="1:9">
      <c r="A766" s="17">
        <v>501</v>
      </c>
      <c r="B766" s="17" t="s">
        <v>105</v>
      </c>
      <c r="C766" s="17" t="s">
        <v>92</v>
      </c>
      <c r="D766" s="17">
        <v>20</v>
      </c>
      <c r="E766" s="17" t="s">
        <v>93</v>
      </c>
      <c r="F766" s="17">
        <v>2</v>
      </c>
      <c r="G766" s="17" t="str">
        <f t="shared" si="11"/>
        <v>M0113-A-20-2</v>
      </c>
      <c r="H766" s="17">
        <v>37.630000000000003</v>
      </c>
      <c r="I766" s="17">
        <v>38.369999999999997</v>
      </c>
    </row>
    <row r="767" spans="1:9">
      <c r="A767" s="17">
        <v>501</v>
      </c>
      <c r="B767" s="17" t="s">
        <v>105</v>
      </c>
      <c r="C767" s="17" t="s">
        <v>92</v>
      </c>
      <c r="D767" s="17">
        <v>21</v>
      </c>
      <c r="E767" s="17" t="s">
        <v>93</v>
      </c>
      <c r="F767" s="17">
        <v>1</v>
      </c>
      <c r="G767" s="17" t="str">
        <f t="shared" si="11"/>
        <v>M0113-A-21-1</v>
      </c>
      <c r="H767" s="17">
        <v>38.369999999999997</v>
      </c>
      <c r="I767" s="17">
        <v>39.47</v>
      </c>
    </row>
    <row r="768" spans="1:9">
      <c r="A768" s="17">
        <v>501</v>
      </c>
      <c r="B768" s="17" t="s">
        <v>105</v>
      </c>
      <c r="C768" s="17" t="s">
        <v>92</v>
      </c>
      <c r="D768" s="17">
        <v>21</v>
      </c>
      <c r="E768" s="17" t="s">
        <v>93</v>
      </c>
      <c r="F768" s="17">
        <v>2</v>
      </c>
      <c r="G768" s="17" t="str">
        <f t="shared" si="11"/>
        <v>M0113-A-21-2</v>
      </c>
      <c r="H768" s="17">
        <v>39.47</v>
      </c>
      <c r="I768" s="17">
        <v>40.299999999999997</v>
      </c>
    </row>
    <row r="769" spans="1:9">
      <c r="A769" s="17">
        <v>501</v>
      </c>
      <c r="B769" s="17" t="s">
        <v>105</v>
      </c>
      <c r="C769" s="17" t="s">
        <v>92</v>
      </c>
      <c r="D769" s="17">
        <v>22</v>
      </c>
      <c r="E769" s="17" t="s">
        <v>93</v>
      </c>
      <c r="F769" s="17">
        <v>1</v>
      </c>
      <c r="G769" s="17" t="str">
        <f t="shared" si="11"/>
        <v>M0113-A-22-1</v>
      </c>
      <c r="H769" s="17">
        <v>40.299999999999997</v>
      </c>
      <c r="I769" s="17">
        <v>40.43</v>
      </c>
    </row>
    <row r="770" spans="1:9">
      <c r="A770" s="17">
        <v>501</v>
      </c>
      <c r="B770" s="17" t="s">
        <v>105</v>
      </c>
      <c r="C770" s="17" t="s">
        <v>92</v>
      </c>
      <c r="D770" s="17">
        <v>23</v>
      </c>
      <c r="E770" s="17" t="s">
        <v>93</v>
      </c>
      <c r="F770" s="17">
        <v>1</v>
      </c>
      <c r="G770" s="17" t="str">
        <f t="shared" si="11"/>
        <v>M0113-A-23-1</v>
      </c>
      <c r="H770" s="17">
        <v>40.43</v>
      </c>
      <c r="I770" s="17">
        <v>40.619999999999997</v>
      </c>
    </row>
    <row r="771" spans="1:9">
      <c r="A771" s="17">
        <v>501</v>
      </c>
      <c r="B771" s="17" t="s">
        <v>105</v>
      </c>
      <c r="C771" s="17" t="s">
        <v>92</v>
      </c>
      <c r="D771" s="17">
        <v>23</v>
      </c>
      <c r="E771" s="17" t="s">
        <v>93</v>
      </c>
      <c r="F771" s="17">
        <v>2</v>
      </c>
      <c r="G771" s="17" t="str">
        <f t="shared" si="11"/>
        <v>M0113-A-23-2</v>
      </c>
      <c r="H771" s="17">
        <v>40.619999999999997</v>
      </c>
      <c r="I771" s="17">
        <v>41.48</v>
      </c>
    </row>
    <row r="772" spans="1:9">
      <c r="A772" s="17">
        <v>501</v>
      </c>
      <c r="B772" s="17" t="s">
        <v>105</v>
      </c>
      <c r="C772" s="17" t="s">
        <v>92</v>
      </c>
      <c r="D772" s="17">
        <v>23</v>
      </c>
      <c r="E772" s="17" t="s">
        <v>93</v>
      </c>
      <c r="F772" s="17">
        <v>3</v>
      </c>
      <c r="G772" s="17" t="str">
        <f t="shared" si="11"/>
        <v>M0113-A-23-3</v>
      </c>
      <c r="H772" s="17">
        <v>41.48</v>
      </c>
      <c r="I772" s="17">
        <v>42.44</v>
      </c>
    </row>
    <row r="773" spans="1:9">
      <c r="A773" s="17">
        <v>501</v>
      </c>
      <c r="B773" s="17" t="s">
        <v>105</v>
      </c>
      <c r="C773" s="17" t="s">
        <v>92</v>
      </c>
      <c r="D773" s="17">
        <v>24</v>
      </c>
      <c r="E773" s="17" t="s">
        <v>93</v>
      </c>
      <c r="F773" s="17">
        <v>1</v>
      </c>
      <c r="G773" s="17" t="str">
        <f t="shared" si="11"/>
        <v>M0113-A-24-1</v>
      </c>
      <c r="H773" s="17">
        <v>42.44</v>
      </c>
      <c r="I773" s="17">
        <v>42.57</v>
      </c>
    </row>
    <row r="774" spans="1:9">
      <c r="A774" s="17">
        <v>501</v>
      </c>
      <c r="B774" s="17" t="s">
        <v>105</v>
      </c>
      <c r="C774" s="17" t="s">
        <v>92</v>
      </c>
      <c r="D774" s="17">
        <v>25</v>
      </c>
      <c r="E774" s="17" t="s">
        <v>93</v>
      </c>
      <c r="F774" s="17">
        <v>1</v>
      </c>
      <c r="G774" s="17" t="str">
        <f t="shared" si="11"/>
        <v>M0113-A-25-1</v>
      </c>
      <c r="H774" s="17">
        <v>42.57</v>
      </c>
      <c r="I774" s="17">
        <v>43.57</v>
      </c>
    </row>
    <row r="775" spans="1:9">
      <c r="A775" s="17">
        <v>501</v>
      </c>
      <c r="B775" s="17" t="s">
        <v>105</v>
      </c>
      <c r="C775" s="17" t="s">
        <v>92</v>
      </c>
      <c r="D775" s="17">
        <v>25</v>
      </c>
      <c r="E775" s="17" t="s">
        <v>93</v>
      </c>
      <c r="F775" s="17">
        <v>2</v>
      </c>
      <c r="G775" s="17" t="str">
        <f t="shared" si="11"/>
        <v>M0113-A-25-2</v>
      </c>
      <c r="H775" s="17">
        <v>43.57</v>
      </c>
      <c r="I775" s="17">
        <v>44.54</v>
      </c>
    </row>
    <row r="776" spans="1:9">
      <c r="A776" s="17">
        <v>501</v>
      </c>
      <c r="B776" s="17" t="s">
        <v>105</v>
      </c>
      <c r="C776" s="17" t="s">
        <v>92</v>
      </c>
      <c r="D776" s="17">
        <v>26</v>
      </c>
      <c r="E776" s="17" t="s">
        <v>93</v>
      </c>
      <c r="F776" s="17">
        <v>1</v>
      </c>
      <c r="G776" s="17" t="str">
        <f t="shared" si="11"/>
        <v>M0113-A-26-1</v>
      </c>
      <c r="H776" s="17">
        <v>44.54</v>
      </c>
      <c r="I776" s="17">
        <v>45.54</v>
      </c>
    </row>
    <row r="777" spans="1:9">
      <c r="A777" s="17">
        <v>501</v>
      </c>
      <c r="B777" s="17" t="s">
        <v>105</v>
      </c>
      <c r="C777" s="17" t="s">
        <v>92</v>
      </c>
      <c r="D777" s="17">
        <v>26</v>
      </c>
      <c r="E777" s="17" t="s">
        <v>93</v>
      </c>
      <c r="F777" s="17">
        <v>2</v>
      </c>
      <c r="G777" s="17" t="str">
        <f t="shared" si="11"/>
        <v>M0113-A-26-2</v>
      </c>
      <c r="H777" s="17">
        <v>45.54</v>
      </c>
      <c r="I777" s="17">
        <v>46.48</v>
      </c>
    </row>
    <row r="778" spans="1:9">
      <c r="A778" s="17">
        <v>501</v>
      </c>
      <c r="B778" s="17" t="s">
        <v>105</v>
      </c>
      <c r="C778" s="17" t="s">
        <v>92</v>
      </c>
      <c r="D778" s="17">
        <v>27</v>
      </c>
      <c r="E778" s="17" t="s">
        <v>93</v>
      </c>
      <c r="F778" s="17">
        <v>1</v>
      </c>
      <c r="G778" s="17" t="str">
        <f t="shared" si="11"/>
        <v>M0113-A-27-1</v>
      </c>
      <c r="H778" s="17">
        <v>46.48</v>
      </c>
      <c r="I778" s="17">
        <v>47.48</v>
      </c>
    </row>
    <row r="779" spans="1:9">
      <c r="A779" s="17">
        <v>501</v>
      </c>
      <c r="B779" s="17" t="s">
        <v>105</v>
      </c>
      <c r="C779" s="17" t="s">
        <v>92</v>
      </c>
      <c r="D779" s="17">
        <v>27</v>
      </c>
      <c r="E779" s="17" t="s">
        <v>93</v>
      </c>
      <c r="F779" s="17">
        <v>2</v>
      </c>
      <c r="G779" s="17" t="str">
        <f t="shared" si="11"/>
        <v>M0113-A-27-2</v>
      </c>
      <c r="H779" s="17">
        <v>47.48</v>
      </c>
      <c r="I779" s="17">
        <v>48.47</v>
      </c>
    </row>
    <row r="780" spans="1:9">
      <c r="A780" s="17">
        <v>501</v>
      </c>
      <c r="B780" s="17" t="s">
        <v>105</v>
      </c>
      <c r="C780" s="17" t="s">
        <v>92</v>
      </c>
      <c r="D780" s="17">
        <v>28</v>
      </c>
      <c r="E780" s="17" t="s">
        <v>93</v>
      </c>
      <c r="F780" s="17">
        <v>1</v>
      </c>
      <c r="G780" s="17" t="str">
        <f t="shared" si="11"/>
        <v>M0113-A-28-1</v>
      </c>
      <c r="H780" s="17">
        <v>48.47</v>
      </c>
      <c r="I780" s="17">
        <v>49.47</v>
      </c>
    </row>
    <row r="781" spans="1:9">
      <c r="A781" s="17">
        <v>501</v>
      </c>
      <c r="B781" s="17" t="s">
        <v>105</v>
      </c>
      <c r="C781" s="17" t="s">
        <v>92</v>
      </c>
      <c r="D781" s="17">
        <v>28</v>
      </c>
      <c r="E781" s="17" t="s">
        <v>93</v>
      </c>
      <c r="F781" s="17">
        <v>2</v>
      </c>
      <c r="G781" s="17" t="str">
        <f t="shared" si="11"/>
        <v>M0113-A-28-2</v>
      </c>
      <c r="H781" s="17">
        <v>49.47</v>
      </c>
      <c r="I781" s="17">
        <v>50.41</v>
      </c>
    </row>
    <row r="782" spans="1:9">
      <c r="A782" s="17">
        <v>501</v>
      </c>
      <c r="B782" s="17" t="s">
        <v>105</v>
      </c>
      <c r="C782" s="17" t="s">
        <v>92</v>
      </c>
      <c r="D782" s="17">
        <v>29</v>
      </c>
      <c r="E782" s="17" t="s">
        <v>93</v>
      </c>
      <c r="F782" s="17">
        <v>1</v>
      </c>
      <c r="G782" s="17" t="str">
        <f t="shared" si="11"/>
        <v>M0113-A-29-1</v>
      </c>
      <c r="H782" s="17">
        <v>50.41</v>
      </c>
      <c r="I782" s="17">
        <v>51.91</v>
      </c>
    </row>
    <row r="783" spans="1:9">
      <c r="A783" s="17">
        <v>501</v>
      </c>
      <c r="B783" s="17" t="s">
        <v>105</v>
      </c>
      <c r="C783" s="17" t="s">
        <v>92</v>
      </c>
      <c r="D783" s="17">
        <v>30</v>
      </c>
      <c r="E783" s="17" t="s">
        <v>93</v>
      </c>
      <c r="F783" s="17">
        <v>1</v>
      </c>
      <c r="G783" s="17" t="str">
        <f t="shared" si="11"/>
        <v>M0113-A-30-1</v>
      </c>
      <c r="H783" s="17">
        <v>51.91</v>
      </c>
      <c r="I783" s="17">
        <v>52.89</v>
      </c>
    </row>
    <row r="784" spans="1:9">
      <c r="A784" s="17">
        <v>501</v>
      </c>
      <c r="B784" s="17" t="s">
        <v>105</v>
      </c>
      <c r="C784" s="17" t="s">
        <v>92</v>
      </c>
      <c r="D784" s="17">
        <v>30</v>
      </c>
      <c r="E784" s="17" t="s">
        <v>93</v>
      </c>
      <c r="F784" s="17">
        <v>2</v>
      </c>
      <c r="G784" s="17" t="str">
        <f t="shared" si="11"/>
        <v>M0113-A-30-2</v>
      </c>
      <c r="H784" s="17">
        <v>52.89</v>
      </c>
      <c r="I784" s="17">
        <v>53.73</v>
      </c>
    </row>
    <row r="785" spans="1:9">
      <c r="A785" s="17">
        <v>501</v>
      </c>
      <c r="B785" s="17" t="s">
        <v>105</v>
      </c>
      <c r="C785" s="17" t="s">
        <v>92</v>
      </c>
      <c r="D785" s="17">
        <v>30</v>
      </c>
      <c r="E785" s="17" t="s">
        <v>93</v>
      </c>
      <c r="F785" s="17">
        <v>3</v>
      </c>
      <c r="G785" s="17" t="str">
        <f t="shared" si="11"/>
        <v>M0113-A-30-3</v>
      </c>
      <c r="H785" s="17">
        <v>53.73</v>
      </c>
      <c r="I785" s="17">
        <v>53.89</v>
      </c>
    </row>
    <row r="786" spans="1:9">
      <c r="A786" s="17">
        <v>501</v>
      </c>
      <c r="B786" s="17" t="s">
        <v>105</v>
      </c>
      <c r="C786" s="17" t="s">
        <v>92</v>
      </c>
      <c r="D786" s="17">
        <v>31</v>
      </c>
      <c r="E786" s="17" t="s">
        <v>93</v>
      </c>
      <c r="F786" s="17">
        <v>1</v>
      </c>
      <c r="G786" s="17" t="str">
        <f t="shared" si="11"/>
        <v>M0113-A-31-1</v>
      </c>
      <c r="H786" s="17">
        <v>53.89</v>
      </c>
      <c r="I786" s="17">
        <v>55.02</v>
      </c>
    </row>
    <row r="787" spans="1:9">
      <c r="A787" s="17">
        <v>501</v>
      </c>
      <c r="B787" s="17" t="s">
        <v>105</v>
      </c>
      <c r="C787" s="17" t="s">
        <v>92</v>
      </c>
      <c r="D787" s="17">
        <v>32</v>
      </c>
      <c r="E787" s="17" t="s">
        <v>93</v>
      </c>
      <c r="F787" s="17">
        <v>1</v>
      </c>
      <c r="G787" s="17" t="str">
        <f t="shared" si="11"/>
        <v>M0113-A-32-1</v>
      </c>
      <c r="H787" s="17">
        <v>55.02</v>
      </c>
      <c r="I787" s="17">
        <v>56.52</v>
      </c>
    </row>
    <row r="788" spans="1:9">
      <c r="A788" s="17">
        <v>501</v>
      </c>
      <c r="B788" s="17" t="s">
        <v>105</v>
      </c>
      <c r="C788" s="17" t="s">
        <v>92</v>
      </c>
      <c r="D788" s="17">
        <v>32</v>
      </c>
      <c r="E788" s="17" t="s">
        <v>93</v>
      </c>
      <c r="F788" s="17">
        <v>2</v>
      </c>
      <c r="G788" s="17" t="str">
        <f t="shared" si="11"/>
        <v>M0113-A-32-2</v>
      </c>
      <c r="H788" s="17">
        <v>56.52</v>
      </c>
      <c r="I788" s="17">
        <v>57.52</v>
      </c>
    </row>
    <row r="789" spans="1:9">
      <c r="A789" s="17">
        <v>501</v>
      </c>
      <c r="B789" s="17" t="s">
        <v>105</v>
      </c>
      <c r="C789" s="17" t="s">
        <v>92</v>
      </c>
      <c r="D789" s="17">
        <v>33</v>
      </c>
      <c r="E789" s="17" t="s">
        <v>93</v>
      </c>
      <c r="F789" s="17">
        <v>1</v>
      </c>
      <c r="G789" s="17" t="str">
        <f t="shared" si="11"/>
        <v>M0113-A-33-1</v>
      </c>
      <c r="H789" s="17">
        <v>57.52</v>
      </c>
      <c r="I789" s="17">
        <v>58.52</v>
      </c>
    </row>
    <row r="790" spans="1:9">
      <c r="A790" s="17">
        <v>501</v>
      </c>
      <c r="B790" s="17" t="s">
        <v>105</v>
      </c>
      <c r="C790" s="17" t="s">
        <v>92</v>
      </c>
      <c r="D790" s="17">
        <v>33</v>
      </c>
      <c r="E790" s="17" t="s">
        <v>93</v>
      </c>
      <c r="F790" s="17">
        <v>2</v>
      </c>
      <c r="G790" s="17" t="str">
        <f t="shared" si="11"/>
        <v>M0113-A-33-2</v>
      </c>
      <c r="H790" s="17">
        <v>58.52</v>
      </c>
      <c r="I790" s="17">
        <v>59.94</v>
      </c>
    </row>
    <row r="791" spans="1:9">
      <c r="A791" s="17">
        <v>501</v>
      </c>
      <c r="B791" s="17" t="s">
        <v>105</v>
      </c>
      <c r="C791" s="17" t="s">
        <v>92</v>
      </c>
      <c r="D791" s="17">
        <v>34</v>
      </c>
      <c r="E791" s="17" t="s">
        <v>93</v>
      </c>
      <c r="F791" s="17">
        <v>1</v>
      </c>
      <c r="G791" s="17" t="str">
        <f t="shared" si="11"/>
        <v>M0113-A-34-1</v>
      </c>
      <c r="H791" s="17">
        <v>59.94</v>
      </c>
      <c r="I791" s="17">
        <v>60.94</v>
      </c>
    </row>
    <row r="792" spans="1:9">
      <c r="A792" s="17">
        <v>501</v>
      </c>
      <c r="B792" s="17" t="s">
        <v>105</v>
      </c>
      <c r="C792" s="17" t="s">
        <v>92</v>
      </c>
      <c r="D792" s="17">
        <v>34</v>
      </c>
      <c r="E792" s="17" t="s">
        <v>93</v>
      </c>
      <c r="F792" s="17">
        <v>2</v>
      </c>
      <c r="G792" s="17" t="str">
        <f t="shared" si="11"/>
        <v>M0113-A-34-2</v>
      </c>
      <c r="H792" s="17">
        <v>60.94</v>
      </c>
      <c r="I792" s="17">
        <v>61.74</v>
      </c>
    </row>
    <row r="793" spans="1:9">
      <c r="A793" s="17">
        <v>501</v>
      </c>
      <c r="B793" s="17" t="s">
        <v>105</v>
      </c>
      <c r="C793" s="17" t="s">
        <v>92</v>
      </c>
      <c r="D793" s="17">
        <v>35</v>
      </c>
      <c r="E793" s="17" t="s">
        <v>93</v>
      </c>
      <c r="F793" s="17">
        <v>1</v>
      </c>
      <c r="G793" s="17" t="str">
        <f t="shared" si="11"/>
        <v>M0113-A-35-1</v>
      </c>
      <c r="H793" s="17">
        <v>61.74</v>
      </c>
      <c r="I793" s="17">
        <v>62.75</v>
      </c>
    </row>
    <row r="794" spans="1:9">
      <c r="A794" s="17">
        <v>501</v>
      </c>
      <c r="B794" s="17" t="s">
        <v>105</v>
      </c>
      <c r="C794" s="17" t="s">
        <v>92</v>
      </c>
      <c r="D794" s="17">
        <v>35</v>
      </c>
      <c r="E794" s="17" t="s">
        <v>93</v>
      </c>
      <c r="F794" s="17">
        <v>2</v>
      </c>
      <c r="G794" s="17" t="str">
        <f t="shared" si="11"/>
        <v>M0113-A-35-2</v>
      </c>
      <c r="H794" s="17">
        <v>62.75</v>
      </c>
      <c r="I794" s="17">
        <v>63.68</v>
      </c>
    </row>
    <row r="795" spans="1:9">
      <c r="A795" s="17">
        <v>501</v>
      </c>
      <c r="B795" s="17" t="s">
        <v>105</v>
      </c>
      <c r="C795" s="17" t="s">
        <v>92</v>
      </c>
      <c r="D795" s="17">
        <v>36</v>
      </c>
      <c r="E795" s="17" t="s">
        <v>93</v>
      </c>
      <c r="F795" s="17">
        <v>1</v>
      </c>
      <c r="G795" s="17" t="str">
        <f t="shared" si="11"/>
        <v>M0113-A-36-1</v>
      </c>
      <c r="H795" s="17">
        <v>63.68</v>
      </c>
      <c r="I795" s="17">
        <v>64.680000000000007</v>
      </c>
    </row>
    <row r="796" spans="1:9">
      <c r="A796" s="17">
        <v>501</v>
      </c>
      <c r="B796" s="17" t="s">
        <v>105</v>
      </c>
      <c r="C796" s="17" t="s">
        <v>92</v>
      </c>
      <c r="D796" s="17">
        <v>36</v>
      </c>
      <c r="E796" s="17" t="s">
        <v>93</v>
      </c>
      <c r="F796" s="17">
        <v>2</v>
      </c>
      <c r="G796" s="17" t="str">
        <f t="shared" si="11"/>
        <v>M0113-A-36-2</v>
      </c>
      <c r="H796" s="17">
        <v>64.680000000000007</v>
      </c>
      <c r="I796" s="17">
        <v>65.540000000000006</v>
      </c>
    </row>
    <row r="797" spans="1:9">
      <c r="A797" s="17">
        <v>501</v>
      </c>
      <c r="B797" s="17" t="s">
        <v>105</v>
      </c>
      <c r="C797" s="17" t="s">
        <v>92</v>
      </c>
      <c r="D797" s="17">
        <v>37</v>
      </c>
      <c r="E797" s="17" t="s">
        <v>93</v>
      </c>
      <c r="F797" s="17">
        <v>1</v>
      </c>
      <c r="G797" s="17" t="str">
        <f t="shared" si="11"/>
        <v>M0113-A-37-1</v>
      </c>
      <c r="H797" s="17">
        <v>65.44</v>
      </c>
      <c r="I797" s="17">
        <v>66.44</v>
      </c>
    </row>
    <row r="798" spans="1:9">
      <c r="A798" s="17">
        <v>501</v>
      </c>
      <c r="B798" s="17" t="s">
        <v>105</v>
      </c>
      <c r="C798" s="17" t="s">
        <v>92</v>
      </c>
      <c r="D798" s="17">
        <v>37</v>
      </c>
      <c r="E798" s="17" t="s">
        <v>93</v>
      </c>
      <c r="F798" s="17">
        <v>2</v>
      </c>
      <c r="G798" s="17" t="str">
        <f t="shared" si="11"/>
        <v>M0113-A-37-2</v>
      </c>
      <c r="H798" s="17">
        <v>66.44</v>
      </c>
      <c r="I798" s="17">
        <v>67.209999999999994</v>
      </c>
    </row>
    <row r="799" spans="1:9">
      <c r="A799" s="17">
        <v>501</v>
      </c>
      <c r="B799" s="17" t="s">
        <v>105</v>
      </c>
      <c r="C799" s="17" t="s">
        <v>92</v>
      </c>
      <c r="D799" s="17">
        <v>38</v>
      </c>
      <c r="E799" s="17" t="s">
        <v>93</v>
      </c>
      <c r="F799" s="17">
        <v>1</v>
      </c>
      <c r="G799" s="17" t="str">
        <f t="shared" si="11"/>
        <v>M0113-A-38-1</v>
      </c>
      <c r="H799" s="17">
        <v>67.010000000000005</v>
      </c>
      <c r="I799" s="17">
        <v>67.2</v>
      </c>
    </row>
    <row r="800" spans="1:9">
      <c r="A800" s="17">
        <v>501</v>
      </c>
      <c r="B800" s="17" t="s">
        <v>105</v>
      </c>
      <c r="C800" s="17" t="s">
        <v>92</v>
      </c>
      <c r="D800" s="17">
        <v>38</v>
      </c>
      <c r="E800" s="17" t="s">
        <v>93</v>
      </c>
      <c r="F800" s="17">
        <v>2</v>
      </c>
      <c r="G800" s="17" t="str">
        <f t="shared" si="11"/>
        <v>M0113-A-38-2</v>
      </c>
      <c r="H800" s="17">
        <v>67.2</v>
      </c>
      <c r="I800" s="17">
        <v>67.66</v>
      </c>
    </row>
    <row r="801" spans="1:9">
      <c r="A801" s="17">
        <v>501</v>
      </c>
      <c r="B801" s="17" t="s">
        <v>105</v>
      </c>
      <c r="C801" s="17" t="s">
        <v>92</v>
      </c>
      <c r="D801" s="17">
        <v>38</v>
      </c>
      <c r="E801" s="17" t="s">
        <v>93</v>
      </c>
      <c r="F801" s="17">
        <v>3</v>
      </c>
      <c r="G801" s="17" t="str">
        <f t="shared" si="11"/>
        <v>M0113-A-38-3</v>
      </c>
      <c r="H801" s="17">
        <v>67.66</v>
      </c>
      <c r="I801" s="17">
        <v>68.180000000000007</v>
      </c>
    </row>
    <row r="802" spans="1:9">
      <c r="A802" s="17">
        <v>501</v>
      </c>
      <c r="B802" s="17" t="s">
        <v>105</v>
      </c>
      <c r="C802" s="17" t="s">
        <v>92</v>
      </c>
      <c r="D802" s="17">
        <v>38</v>
      </c>
      <c r="E802" s="17" t="s">
        <v>93</v>
      </c>
      <c r="F802" s="17">
        <v>4</v>
      </c>
      <c r="G802" s="17" t="str">
        <f t="shared" si="11"/>
        <v>M0113-A-38-4</v>
      </c>
      <c r="H802" s="17">
        <v>68.180000000000007</v>
      </c>
      <c r="I802" s="17">
        <v>68.27</v>
      </c>
    </row>
    <row r="803" spans="1:9">
      <c r="A803" s="17">
        <v>501</v>
      </c>
      <c r="B803" s="17" t="s">
        <v>105</v>
      </c>
      <c r="C803" s="17" t="s">
        <v>92</v>
      </c>
      <c r="D803" s="17">
        <v>39</v>
      </c>
      <c r="E803" s="17" t="s">
        <v>95</v>
      </c>
      <c r="F803" s="17">
        <v>1</v>
      </c>
      <c r="G803" s="17" t="str">
        <f t="shared" si="11"/>
        <v>M0113-A-39-1</v>
      </c>
      <c r="H803" s="17">
        <v>68.27</v>
      </c>
      <c r="I803" s="17">
        <v>68.8</v>
      </c>
    </row>
    <row r="804" spans="1:9">
      <c r="A804" s="17">
        <v>501</v>
      </c>
      <c r="B804" s="17" t="s">
        <v>105</v>
      </c>
      <c r="C804" s="17" t="s">
        <v>92</v>
      </c>
      <c r="D804" s="17">
        <v>41</v>
      </c>
      <c r="E804" s="17" t="s">
        <v>93</v>
      </c>
      <c r="F804" s="17">
        <v>1</v>
      </c>
      <c r="G804" s="17" t="str">
        <f t="shared" si="11"/>
        <v>M0113-A-41-1</v>
      </c>
      <c r="H804" s="17">
        <v>68.27</v>
      </c>
      <c r="I804" s="17">
        <v>69.63</v>
      </c>
    </row>
    <row r="805" spans="1:9">
      <c r="A805" s="17">
        <v>501</v>
      </c>
      <c r="B805" s="17" t="s">
        <v>105</v>
      </c>
      <c r="C805" s="17" t="s">
        <v>92</v>
      </c>
      <c r="D805" s="17">
        <v>42</v>
      </c>
      <c r="E805" s="17" t="s">
        <v>93</v>
      </c>
      <c r="F805" s="17">
        <v>1</v>
      </c>
      <c r="G805" s="17" t="str">
        <f t="shared" si="11"/>
        <v>M0113-A-42-1</v>
      </c>
      <c r="H805" s="17">
        <v>79.400000000000006</v>
      </c>
      <c r="I805" s="17">
        <v>79.760000000000005</v>
      </c>
    </row>
    <row r="806" spans="1:9">
      <c r="A806" s="17">
        <v>501</v>
      </c>
      <c r="B806" s="17" t="s">
        <v>105</v>
      </c>
      <c r="C806" s="17" t="s">
        <v>92</v>
      </c>
      <c r="D806" s="17">
        <v>43</v>
      </c>
      <c r="E806" s="17" t="s">
        <v>93</v>
      </c>
      <c r="F806" s="17">
        <v>1</v>
      </c>
      <c r="G806" s="17" t="str">
        <f t="shared" si="11"/>
        <v>M0113-A-43-1</v>
      </c>
      <c r="H806" s="17">
        <v>79.760000000000005</v>
      </c>
      <c r="I806" s="17">
        <v>80.97</v>
      </c>
    </row>
    <row r="807" spans="1:9">
      <c r="A807" s="17">
        <v>501</v>
      </c>
      <c r="B807" s="17" t="s">
        <v>105</v>
      </c>
      <c r="C807" s="17" t="s">
        <v>92</v>
      </c>
      <c r="D807" s="17">
        <v>43</v>
      </c>
      <c r="E807" s="17" t="s">
        <v>93</v>
      </c>
      <c r="F807" s="17">
        <v>2</v>
      </c>
      <c r="G807" s="17" t="str">
        <f t="shared" si="11"/>
        <v>M0113-A-43-2</v>
      </c>
      <c r="H807" s="17">
        <v>80.97</v>
      </c>
      <c r="I807" s="17">
        <v>81.08</v>
      </c>
    </row>
    <row r="808" spans="1:9">
      <c r="A808" s="17">
        <v>501</v>
      </c>
      <c r="B808" s="17" t="s">
        <v>105</v>
      </c>
      <c r="C808" s="17" t="s">
        <v>92</v>
      </c>
      <c r="D808" s="17">
        <v>44</v>
      </c>
      <c r="E808" s="17" t="s">
        <v>93</v>
      </c>
      <c r="F808" s="17">
        <v>1</v>
      </c>
      <c r="G808" s="17" t="str">
        <f t="shared" si="11"/>
        <v>M0113-A-44-1</v>
      </c>
      <c r="H808" s="17">
        <v>81.08</v>
      </c>
      <c r="I808" s="17">
        <v>81.19</v>
      </c>
    </row>
    <row r="809" spans="1:9">
      <c r="A809" s="17">
        <v>501</v>
      </c>
      <c r="B809" s="17" t="s">
        <v>105</v>
      </c>
      <c r="C809" s="17" t="s">
        <v>92</v>
      </c>
      <c r="D809" s="17">
        <v>44</v>
      </c>
      <c r="E809" s="17" t="s">
        <v>93</v>
      </c>
      <c r="F809" s="17">
        <v>2</v>
      </c>
      <c r="G809" s="17" t="str">
        <f t="shared" si="11"/>
        <v>M0113-A-44-2</v>
      </c>
      <c r="H809" s="17">
        <v>81.19</v>
      </c>
      <c r="I809" s="17">
        <v>82.02</v>
      </c>
    </row>
    <row r="810" spans="1:9">
      <c r="A810" s="17">
        <v>501</v>
      </c>
      <c r="B810" s="17" t="s">
        <v>105</v>
      </c>
      <c r="C810" s="17" t="s">
        <v>92</v>
      </c>
      <c r="D810" s="17">
        <v>44</v>
      </c>
      <c r="E810" s="17" t="s">
        <v>93</v>
      </c>
      <c r="F810" s="17">
        <v>3</v>
      </c>
      <c r="G810" s="17" t="str">
        <f t="shared" si="11"/>
        <v>M0113-A-44-3</v>
      </c>
      <c r="H810" s="17">
        <v>82.02</v>
      </c>
      <c r="I810" s="17">
        <v>82.56</v>
      </c>
    </row>
    <row r="811" spans="1:9">
      <c r="A811" s="17">
        <v>501</v>
      </c>
      <c r="B811" s="17" t="s">
        <v>105</v>
      </c>
      <c r="C811" s="17" t="s">
        <v>92</v>
      </c>
      <c r="D811" s="17">
        <v>45</v>
      </c>
      <c r="E811" s="17" t="s">
        <v>95</v>
      </c>
      <c r="F811" s="17">
        <v>1</v>
      </c>
      <c r="G811" s="17" t="str">
        <f t="shared" si="11"/>
        <v>M0113-A-45-1</v>
      </c>
      <c r="H811" s="17">
        <v>82.56</v>
      </c>
      <c r="I811" s="17">
        <v>83.92</v>
      </c>
    </row>
    <row r="812" spans="1:9">
      <c r="A812" s="17">
        <v>501</v>
      </c>
      <c r="B812" s="17" t="s">
        <v>105</v>
      </c>
      <c r="C812" s="17" t="s">
        <v>92</v>
      </c>
      <c r="D812" s="17">
        <v>46</v>
      </c>
      <c r="E812" s="17" t="s">
        <v>93</v>
      </c>
      <c r="F812" s="17">
        <v>1</v>
      </c>
      <c r="G812" s="17" t="str">
        <f t="shared" si="11"/>
        <v>M0113-A-46-1</v>
      </c>
      <c r="H812" s="17">
        <v>83.49</v>
      </c>
      <c r="I812" s="17">
        <v>83.9</v>
      </c>
    </row>
    <row r="813" spans="1:9">
      <c r="A813" s="17">
        <v>501</v>
      </c>
      <c r="B813" s="17" t="s">
        <v>105</v>
      </c>
      <c r="C813" s="17" t="s">
        <v>92</v>
      </c>
      <c r="D813" s="17">
        <v>46</v>
      </c>
      <c r="E813" s="17" t="s">
        <v>93</v>
      </c>
      <c r="F813" s="17">
        <v>2</v>
      </c>
      <c r="G813" s="17" t="str">
        <f t="shared" si="11"/>
        <v>M0113-A-46-2</v>
      </c>
      <c r="H813" s="17">
        <v>83.9</v>
      </c>
      <c r="I813" s="17">
        <v>85.33</v>
      </c>
    </row>
    <row r="814" spans="1:9">
      <c r="A814" s="17">
        <v>501</v>
      </c>
      <c r="B814" s="17" t="s">
        <v>105</v>
      </c>
      <c r="C814" s="17" t="s">
        <v>92</v>
      </c>
      <c r="D814" s="17">
        <v>47</v>
      </c>
      <c r="E814" s="17" t="s">
        <v>93</v>
      </c>
      <c r="F814" s="17">
        <v>1</v>
      </c>
      <c r="G814" s="17" t="str">
        <f t="shared" si="11"/>
        <v>M0113-A-47-1</v>
      </c>
      <c r="H814" s="17">
        <v>85.33</v>
      </c>
      <c r="I814" s="17">
        <v>85.82</v>
      </c>
    </row>
    <row r="815" spans="1:9">
      <c r="A815" s="17">
        <v>501</v>
      </c>
      <c r="B815" s="17" t="s">
        <v>105</v>
      </c>
      <c r="C815" s="17" t="s">
        <v>92</v>
      </c>
      <c r="D815" s="17">
        <v>47</v>
      </c>
      <c r="E815" s="17" t="s">
        <v>93</v>
      </c>
      <c r="F815" s="17">
        <v>2</v>
      </c>
      <c r="G815" s="17" t="str">
        <f t="shared" si="11"/>
        <v>M0113-A-47-2</v>
      </c>
      <c r="H815" s="17">
        <v>85.82</v>
      </c>
      <c r="I815" s="17">
        <v>86.34</v>
      </c>
    </row>
    <row r="816" spans="1:9">
      <c r="A816" s="17">
        <v>501</v>
      </c>
      <c r="B816" s="17" t="s">
        <v>105</v>
      </c>
      <c r="C816" s="17" t="s">
        <v>92</v>
      </c>
      <c r="D816" s="17">
        <v>48</v>
      </c>
      <c r="E816" s="17" t="s">
        <v>93</v>
      </c>
      <c r="F816" s="17">
        <v>1</v>
      </c>
      <c r="G816" s="17" t="str">
        <f t="shared" si="11"/>
        <v>M0113-A-48-1</v>
      </c>
      <c r="H816" s="17">
        <v>86.34</v>
      </c>
      <c r="I816" s="17">
        <v>87.27</v>
      </c>
    </row>
    <row r="817" spans="1:9">
      <c r="A817" s="17">
        <v>501</v>
      </c>
      <c r="B817" s="17" t="s">
        <v>105</v>
      </c>
      <c r="C817" s="17" t="s">
        <v>92</v>
      </c>
      <c r="D817" s="17">
        <v>49</v>
      </c>
      <c r="E817" s="17" t="s">
        <v>95</v>
      </c>
      <c r="F817" s="17">
        <v>1</v>
      </c>
      <c r="G817" s="17" t="str">
        <f t="shared" si="11"/>
        <v>M0113-A-49-1</v>
      </c>
      <c r="H817" s="17">
        <v>87.27</v>
      </c>
      <c r="I817" s="17">
        <v>88.21</v>
      </c>
    </row>
    <row r="818" spans="1:9">
      <c r="A818" s="17">
        <v>501</v>
      </c>
      <c r="B818" s="17" t="s">
        <v>105</v>
      </c>
      <c r="C818" s="17" t="s">
        <v>92</v>
      </c>
      <c r="D818" s="17">
        <v>49</v>
      </c>
      <c r="E818" s="17" t="s">
        <v>95</v>
      </c>
      <c r="F818" s="17">
        <v>2</v>
      </c>
      <c r="G818" s="17" t="str">
        <f t="shared" si="11"/>
        <v>M0113-A-49-2</v>
      </c>
      <c r="H818" s="17">
        <v>88.21</v>
      </c>
      <c r="I818" s="17">
        <v>88.7</v>
      </c>
    </row>
    <row r="819" spans="1:9">
      <c r="A819" s="17">
        <v>501</v>
      </c>
      <c r="B819" s="17" t="s">
        <v>105</v>
      </c>
      <c r="C819" s="17" t="s">
        <v>92</v>
      </c>
      <c r="D819" s="17">
        <v>50</v>
      </c>
      <c r="E819" s="17" t="s">
        <v>95</v>
      </c>
      <c r="F819" s="17">
        <v>1</v>
      </c>
      <c r="G819" s="17" t="str">
        <f t="shared" si="11"/>
        <v>M0113-A-50-1</v>
      </c>
      <c r="H819" s="17">
        <v>89.49</v>
      </c>
      <c r="I819" s="17">
        <v>90.4</v>
      </c>
    </row>
    <row r="820" spans="1:9">
      <c r="A820" s="17">
        <v>501</v>
      </c>
      <c r="B820" s="17" t="s">
        <v>105</v>
      </c>
      <c r="C820" s="17" t="s">
        <v>92</v>
      </c>
      <c r="D820" s="17">
        <v>51</v>
      </c>
      <c r="E820" s="17" t="s">
        <v>95</v>
      </c>
      <c r="F820" s="17">
        <v>1</v>
      </c>
      <c r="G820" s="17" t="str">
        <f t="shared" si="11"/>
        <v>M0113-A-51-1</v>
      </c>
      <c r="H820" s="17">
        <v>90.99</v>
      </c>
      <c r="I820" s="17">
        <v>92.15</v>
      </c>
    </row>
    <row r="821" spans="1:9">
      <c r="A821" s="17">
        <v>501</v>
      </c>
      <c r="B821" s="17" t="s">
        <v>105</v>
      </c>
      <c r="C821" s="17" t="s">
        <v>92</v>
      </c>
      <c r="D821" s="17">
        <v>53</v>
      </c>
      <c r="E821" s="17" t="s">
        <v>95</v>
      </c>
      <c r="F821" s="17">
        <v>1</v>
      </c>
      <c r="G821" s="17" t="str">
        <f t="shared" si="11"/>
        <v>M0113-A-53-1</v>
      </c>
      <c r="H821" s="17">
        <v>93.99</v>
      </c>
      <c r="I821" s="17">
        <v>95.49</v>
      </c>
    </row>
    <row r="822" spans="1:9">
      <c r="A822" s="17">
        <v>501</v>
      </c>
      <c r="B822" s="17" t="s">
        <v>105</v>
      </c>
      <c r="C822" s="17" t="s">
        <v>92</v>
      </c>
      <c r="D822" s="17">
        <v>53</v>
      </c>
      <c r="E822" s="17" t="s">
        <v>95</v>
      </c>
      <c r="F822" s="17">
        <v>2</v>
      </c>
      <c r="G822" s="17" t="str">
        <f t="shared" si="11"/>
        <v>M0113-A-53-2</v>
      </c>
      <c r="H822" s="17">
        <v>95.49</v>
      </c>
      <c r="I822" s="17">
        <v>96.69</v>
      </c>
    </row>
    <row r="823" spans="1:9">
      <c r="A823" s="17">
        <v>501</v>
      </c>
      <c r="B823" s="17" t="s">
        <v>105</v>
      </c>
      <c r="C823" s="17" t="s">
        <v>92</v>
      </c>
      <c r="D823" s="17">
        <v>54</v>
      </c>
      <c r="E823" s="17" t="s">
        <v>95</v>
      </c>
      <c r="F823" s="17">
        <v>1</v>
      </c>
      <c r="G823" s="17" t="str">
        <f t="shared" si="11"/>
        <v>M0113-A-54-1</v>
      </c>
      <c r="H823" s="17">
        <v>95.49</v>
      </c>
      <c r="I823" s="17">
        <v>96.72</v>
      </c>
    </row>
    <row r="824" spans="1:9">
      <c r="A824" s="17">
        <v>501</v>
      </c>
      <c r="B824" s="17" t="s">
        <v>105</v>
      </c>
      <c r="C824" s="17" t="s">
        <v>92</v>
      </c>
      <c r="D824" s="17">
        <v>55</v>
      </c>
      <c r="E824" s="17" t="s">
        <v>93</v>
      </c>
      <c r="F824" s="17">
        <v>1</v>
      </c>
      <c r="G824" s="17" t="str">
        <f t="shared" ref="G824:G887" si="12">CONCATENATE(B824, "-",C824, "-", D824, "-", F824)</f>
        <v>M0113-A-55-1</v>
      </c>
      <c r="H824" s="17">
        <v>96.99</v>
      </c>
      <c r="I824" s="17">
        <v>97.99</v>
      </c>
    </row>
    <row r="825" spans="1:9">
      <c r="A825" s="17">
        <v>501</v>
      </c>
      <c r="B825" s="17" t="s">
        <v>105</v>
      </c>
      <c r="C825" s="17" t="s">
        <v>92</v>
      </c>
      <c r="D825" s="17">
        <v>55</v>
      </c>
      <c r="E825" s="17" t="s">
        <v>93</v>
      </c>
      <c r="F825" s="17">
        <v>2</v>
      </c>
      <c r="G825" s="17" t="str">
        <f t="shared" si="12"/>
        <v>M0113-A-55-2</v>
      </c>
      <c r="H825" s="17">
        <v>97.99</v>
      </c>
      <c r="I825" s="17">
        <v>98.99</v>
      </c>
    </row>
    <row r="826" spans="1:9">
      <c r="A826" s="17">
        <v>501</v>
      </c>
      <c r="B826" s="17" t="s">
        <v>105</v>
      </c>
      <c r="C826" s="17" t="s">
        <v>92</v>
      </c>
      <c r="D826" s="17">
        <v>56</v>
      </c>
      <c r="E826" s="17" t="s">
        <v>93</v>
      </c>
      <c r="F826" s="17">
        <v>1</v>
      </c>
      <c r="G826" s="17" t="str">
        <f t="shared" si="12"/>
        <v>M0113-A-56-1</v>
      </c>
      <c r="H826" s="17">
        <v>98.99</v>
      </c>
      <c r="I826" s="17">
        <v>100.49</v>
      </c>
    </row>
    <row r="827" spans="1:9">
      <c r="A827" s="17">
        <v>501</v>
      </c>
      <c r="B827" s="17" t="s">
        <v>105</v>
      </c>
      <c r="C827" s="17" t="s">
        <v>92</v>
      </c>
      <c r="D827" s="17">
        <v>56</v>
      </c>
      <c r="E827" s="17" t="s">
        <v>93</v>
      </c>
      <c r="F827" s="17">
        <v>2</v>
      </c>
      <c r="G827" s="17" t="str">
        <f t="shared" si="12"/>
        <v>M0113-A-56-2</v>
      </c>
      <c r="H827" s="17">
        <v>100.49</v>
      </c>
      <c r="I827" s="17">
        <v>101.4</v>
      </c>
    </row>
    <row r="828" spans="1:9">
      <c r="A828" s="17">
        <v>501</v>
      </c>
      <c r="B828" s="17" t="s">
        <v>105</v>
      </c>
      <c r="C828" s="17" t="s">
        <v>92</v>
      </c>
      <c r="D828" s="17">
        <v>57</v>
      </c>
      <c r="E828" s="17" t="s">
        <v>93</v>
      </c>
      <c r="F828" s="17">
        <v>1</v>
      </c>
      <c r="G828" s="17" t="str">
        <f t="shared" si="12"/>
        <v>M0113-A-57-1</v>
      </c>
      <c r="H828" s="17">
        <v>101.4</v>
      </c>
      <c r="I828" s="17">
        <v>102.35</v>
      </c>
    </row>
    <row r="829" spans="1:9">
      <c r="A829" s="17">
        <v>501</v>
      </c>
      <c r="B829" s="17" t="s">
        <v>105</v>
      </c>
      <c r="C829" s="17" t="s">
        <v>92</v>
      </c>
      <c r="D829" s="17">
        <v>57</v>
      </c>
      <c r="E829" s="17" t="s">
        <v>93</v>
      </c>
      <c r="F829" s="17">
        <v>2</v>
      </c>
      <c r="G829" s="17" t="str">
        <f t="shared" si="12"/>
        <v>M0113-A-57-2</v>
      </c>
      <c r="H829" s="17">
        <v>102.35</v>
      </c>
      <c r="I829" s="17">
        <v>103.38</v>
      </c>
    </row>
    <row r="830" spans="1:9">
      <c r="A830" s="17">
        <v>501</v>
      </c>
      <c r="B830" s="17" t="s">
        <v>105</v>
      </c>
      <c r="C830" s="17" t="s">
        <v>92</v>
      </c>
      <c r="D830" s="17">
        <v>58</v>
      </c>
      <c r="E830" s="17" t="s">
        <v>93</v>
      </c>
      <c r="F830" s="17">
        <v>1</v>
      </c>
      <c r="G830" s="17" t="str">
        <f t="shared" si="12"/>
        <v>M0113-A-58-1</v>
      </c>
      <c r="H830" s="17">
        <v>103.38</v>
      </c>
      <c r="I830" s="17">
        <v>104.38</v>
      </c>
    </row>
    <row r="831" spans="1:9">
      <c r="A831" s="17">
        <v>501</v>
      </c>
      <c r="B831" s="17" t="s">
        <v>105</v>
      </c>
      <c r="C831" s="17" t="s">
        <v>92</v>
      </c>
      <c r="D831" s="17">
        <v>58</v>
      </c>
      <c r="E831" s="17" t="s">
        <v>93</v>
      </c>
      <c r="F831" s="17">
        <v>2</v>
      </c>
      <c r="G831" s="17" t="str">
        <f t="shared" si="12"/>
        <v>M0113-A-58-2</v>
      </c>
      <c r="H831" s="17">
        <v>104.38</v>
      </c>
      <c r="I831" s="17">
        <v>105.03</v>
      </c>
    </row>
    <row r="832" spans="1:9">
      <c r="A832" s="17">
        <v>501</v>
      </c>
      <c r="B832" s="17" t="s">
        <v>105</v>
      </c>
      <c r="C832" s="17" t="s">
        <v>92</v>
      </c>
      <c r="D832" s="17">
        <v>59</v>
      </c>
      <c r="E832" s="17" t="s">
        <v>93</v>
      </c>
      <c r="F832" s="17">
        <v>1</v>
      </c>
      <c r="G832" s="17" t="str">
        <f t="shared" si="12"/>
        <v>M0113-A-59-1</v>
      </c>
      <c r="H832" s="17">
        <v>104.22</v>
      </c>
      <c r="I832" s="17">
        <v>104.9</v>
      </c>
    </row>
    <row r="833" spans="1:9">
      <c r="A833" s="17">
        <v>501</v>
      </c>
      <c r="B833" s="17" t="s">
        <v>105</v>
      </c>
      <c r="C833" s="17" t="s">
        <v>92</v>
      </c>
      <c r="D833" s="17">
        <v>59</v>
      </c>
      <c r="E833" s="17" t="s">
        <v>93</v>
      </c>
      <c r="F833" s="17">
        <v>2</v>
      </c>
      <c r="G833" s="17" t="str">
        <f t="shared" si="12"/>
        <v>M0113-A-59-2</v>
      </c>
      <c r="H833" s="17">
        <v>104.9</v>
      </c>
      <c r="I833" s="17">
        <v>105.03</v>
      </c>
    </row>
    <row r="834" spans="1:9">
      <c r="A834" s="17">
        <v>501</v>
      </c>
      <c r="B834" s="17" t="s">
        <v>105</v>
      </c>
      <c r="C834" s="17" t="s">
        <v>92</v>
      </c>
      <c r="D834" s="17">
        <v>60</v>
      </c>
      <c r="E834" s="17" t="s">
        <v>93</v>
      </c>
      <c r="F834" s="17">
        <v>1</v>
      </c>
      <c r="G834" s="17" t="str">
        <f t="shared" si="12"/>
        <v>M0113-A-60-1</v>
      </c>
      <c r="H834" s="17">
        <v>105.03</v>
      </c>
      <c r="I834" s="17">
        <v>105.75</v>
      </c>
    </row>
    <row r="835" spans="1:9">
      <c r="A835" s="17">
        <v>501</v>
      </c>
      <c r="B835" s="17" t="s">
        <v>105</v>
      </c>
      <c r="C835" s="17" t="s">
        <v>92</v>
      </c>
      <c r="D835" s="17">
        <v>60</v>
      </c>
      <c r="E835" s="17" t="s">
        <v>93</v>
      </c>
      <c r="F835" s="17">
        <v>2</v>
      </c>
      <c r="G835" s="17" t="str">
        <f t="shared" si="12"/>
        <v>M0113-A-60-2</v>
      </c>
      <c r="H835" s="17">
        <v>105.75</v>
      </c>
      <c r="I835" s="17">
        <v>105.9</v>
      </c>
    </row>
    <row r="836" spans="1:9">
      <c r="A836" s="17">
        <v>501</v>
      </c>
      <c r="B836" s="17" t="s">
        <v>105</v>
      </c>
      <c r="C836" s="17" t="s">
        <v>92</v>
      </c>
      <c r="D836" s="17">
        <v>61</v>
      </c>
      <c r="E836" s="17" t="s">
        <v>95</v>
      </c>
      <c r="F836" s="17">
        <v>1</v>
      </c>
      <c r="G836" s="17" t="str">
        <f t="shared" si="12"/>
        <v>M0113-A-61-1</v>
      </c>
      <c r="H836" s="17">
        <v>105.9</v>
      </c>
      <c r="I836" s="17">
        <v>106.49</v>
      </c>
    </row>
    <row r="837" spans="1:9">
      <c r="A837" s="17">
        <v>501</v>
      </c>
      <c r="B837" s="17" t="s">
        <v>105</v>
      </c>
      <c r="C837" s="17" t="s">
        <v>92</v>
      </c>
      <c r="D837" s="17">
        <v>62</v>
      </c>
      <c r="E837" s="17" t="s">
        <v>95</v>
      </c>
      <c r="F837" s="17">
        <v>1</v>
      </c>
      <c r="G837" s="17" t="str">
        <f t="shared" si="12"/>
        <v>M0113-A-62-1</v>
      </c>
      <c r="H837" s="17">
        <v>107.49</v>
      </c>
      <c r="I837" s="17">
        <v>107.96</v>
      </c>
    </row>
    <row r="838" spans="1:9">
      <c r="A838" s="17">
        <v>501</v>
      </c>
      <c r="B838" s="17" t="s">
        <v>105</v>
      </c>
      <c r="C838" s="17" t="s">
        <v>92</v>
      </c>
      <c r="D838" s="17">
        <v>63</v>
      </c>
      <c r="E838" s="17" t="s">
        <v>93</v>
      </c>
      <c r="F838" s="17">
        <v>1</v>
      </c>
      <c r="G838" s="17" t="str">
        <f t="shared" si="12"/>
        <v>M0113-A-63-1</v>
      </c>
      <c r="H838" s="17">
        <v>108.99</v>
      </c>
      <c r="I838" s="17">
        <v>109.8</v>
      </c>
    </row>
    <row r="839" spans="1:9">
      <c r="A839" s="17">
        <v>501</v>
      </c>
      <c r="B839" s="17" t="s">
        <v>105</v>
      </c>
      <c r="C839" s="17" t="s">
        <v>92</v>
      </c>
      <c r="D839" s="17">
        <v>63</v>
      </c>
      <c r="E839" s="17" t="s">
        <v>93</v>
      </c>
      <c r="F839" s="17">
        <v>2</v>
      </c>
      <c r="G839" s="17" t="str">
        <f t="shared" si="12"/>
        <v>M0113-A-63-2</v>
      </c>
      <c r="H839" s="17">
        <v>109.8</v>
      </c>
      <c r="I839" s="17">
        <v>109.93</v>
      </c>
    </row>
    <row r="840" spans="1:9">
      <c r="A840" s="17">
        <v>501</v>
      </c>
      <c r="B840" s="17" t="s">
        <v>105</v>
      </c>
      <c r="C840" s="17" t="s">
        <v>92</v>
      </c>
      <c r="D840" s="17">
        <v>65</v>
      </c>
      <c r="E840" s="17" t="s">
        <v>95</v>
      </c>
      <c r="F840" s="17">
        <v>1</v>
      </c>
      <c r="G840" s="17" t="str">
        <f t="shared" si="12"/>
        <v>M0113-A-65-1</v>
      </c>
      <c r="H840" s="17">
        <v>109.93</v>
      </c>
      <c r="I840" s="17">
        <v>110.92</v>
      </c>
    </row>
    <row r="841" spans="1:9">
      <c r="A841" s="17">
        <v>501</v>
      </c>
      <c r="B841" s="17" t="s">
        <v>105</v>
      </c>
      <c r="C841" s="17" t="s">
        <v>92</v>
      </c>
      <c r="D841" s="17">
        <v>65</v>
      </c>
      <c r="E841" s="17" t="s">
        <v>95</v>
      </c>
      <c r="F841" s="17">
        <v>2</v>
      </c>
      <c r="G841" s="17" t="str">
        <f t="shared" si="12"/>
        <v>M0113-A-65-2</v>
      </c>
      <c r="H841" s="17">
        <v>110.92</v>
      </c>
      <c r="I841" s="17">
        <v>111.31</v>
      </c>
    </row>
    <row r="842" spans="1:9">
      <c r="A842" s="17">
        <v>501</v>
      </c>
      <c r="B842" s="17" t="s">
        <v>105</v>
      </c>
      <c r="C842" s="17" t="s">
        <v>92</v>
      </c>
      <c r="D842" s="17">
        <v>66</v>
      </c>
      <c r="E842" s="17" t="s">
        <v>95</v>
      </c>
      <c r="F842" s="17">
        <v>1</v>
      </c>
      <c r="G842" s="17" t="str">
        <f t="shared" si="12"/>
        <v>M0113-A-66-1</v>
      </c>
      <c r="H842" s="17">
        <v>111.99</v>
      </c>
      <c r="I842" s="17">
        <v>112.23</v>
      </c>
    </row>
    <row r="843" spans="1:9">
      <c r="A843" s="17">
        <v>501</v>
      </c>
      <c r="B843" s="17" t="s">
        <v>105</v>
      </c>
      <c r="C843" s="17" t="s">
        <v>92</v>
      </c>
      <c r="D843" s="17">
        <v>67</v>
      </c>
      <c r="E843" s="17" t="s">
        <v>95</v>
      </c>
      <c r="F843" s="17">
        <v>1</v>
      </c>
      <c r="G843" s="17" t="str">
        <f t="shared" si="12"/>
        <v>M0113-A-67-1</v>
      </c>
      <c r="H843" s="17">
        <v>113.49</v>
      </c>
      <c r="I843" s="17">
        <v>114.99</v>
      </c>
    </row>
    <row r="844" spans="1:9">
      <c r="A844" s="17">
        <v>501</v>
      </c>
      <c r="B844" s="17" t="s">
        <v>105</v>
      </c>
      <c r="C844" s="17" t="s">
        <v>92</v>
      </c>
      <c r="D844" s="17">
        <v>64</v>
      </c>
      <c r="E844" s="17" t="s">
        <v>93</v>
      </c>
      <c r="F844" s="17">
        <v>1</v>
      </c>
      <c r="G844" s="17" t="str">
        <f t="shared" si="12"/>
        <v>M0113-A-64-1</v>
      </c>
      <c r="H844" s="17">
        <v>109.93</v>
      </c>
      <c r="I844" s="17">
        <v>110.14</v>
      </c>
    </row>
    <row r="845" spans="1:9">
      <c r="A845" s="17">
        <v>501</v>
      </c>
      <c r="B845" s="17" t="s">
        <v>105</v>
      </c>
      <c r="C845" s="17" t="s">
        <v>92</v>
      </c>
      <c r="D845" s="17">
        <v>68</v>
      </c>
      <c r="E845" s="17" t="s">
        <v>95</v>
      </c>
      <c r="F845" s="17">
        <v>1</v>
      </c>
      <c r="G845" s="17" t="str">
        <f t="shared" si="12"/>
        <v>M0113-A-68-1</v>
      </c>
      <c r="H845" s="17">
        <v>114.99</v>
      </c>
      <c r="I845" s="17">
        <v>115.44</v>
      </c>
    </row>
    <row r="846" spans="1:9">
      <c r="A846" s="17">
        <v>501</v>
      </c>
      <c r="B846" s="17" t="s">
        <v>105</v>
      </c>
      <c r="C846" s="17" t="s">
        <v>92</v>
      </c>
      <c r="D846" s="17">
        <v>69</v>
      </c>
      <c r="E846" s="17" t="s">
        <v>95</v>
      </c>
      <c r="F846" s="17">
        <v>1</v>
      </c>
      <c r="G846" s="17" t="str">
        <f t="shared" si="12"/>
        <v>M0113-A-69-1</v>
      </c>
      <c r="H846" s="17">
        <v>116.49</v>
      </c>
      <c r="I846" s="17">
        <v>116.92</v>
      </c>
    </row>
    <row r="847" spans="1:9">
      <c r="A847" s="17">
        <v>501</v>
      </c>
      <c r="B847" s="17" t="s">
        <v>105</v>
      </c>
      <c r="C847" s="17" t="s">
        <v>92</v>
      </c>
      <c r="D847" s="17">
        <v>70</v>
      </c>
      <c r="E847" s="17" t="s">
        <v>95</v>
      </c>
      <c r="F847" s="17">
        <v>1</v>
      </c>
      <c r="G847" s="17" t="str">
        <f t="shared" si="12"/>
        <v>M0113-A-70-1</v>
      </c>
      <c r="H847" s="17">
        <v>117.99</v>
      </c>
      <c r="I847" s="17">
        <v>118.97</v>
      </c>
    </row>
    <row r="848" spans="1:9">
      <c r="A848" s="17">
        <v>501</v>
      </c>
      <c r="B848" s="17" t="s">
        <v>105</v>
      </c>
      <c r="C848" s="17" t="s">
        <v>92</v>
      </c>
      <c r="D848" s="17">
        <v>71</v>
      </c>
      <c r="E848" s="17" t="s">
        <v>95</v>
      </c>
      <c r="F848" s="17">
        <v>1</v>
      </c>
      <c r="G848" s="17" t="str">
        <f t="shared" si="12"/>
        <v>M0113-A-71-1</v>
      </c>
      <c r="H848" s="17">
        <v>119.49</v>
      </c>
      <c r="I848" s="17">
        <v>119.85</v>
      </c>
    </row>
    <row r="849" spans="1:9">
      <c r="A849" s="17">
        <v>501</v>
      </c>
      <c r="B849" s="17" t="s">
        <v>105</v>
      </c>
      <c r="C849" s="17" t="s">
        <v>92</v>
      </c>
      <c r="D849" s="17">
        <v>72</v>
      </c>
      <c r="E849" s="17" t="s">
        <v>95</v>
      </c>
      <c r="F849" s="17">
        <v>1</v>
      </c>
      <c r="G849" s="17" t="str">
        <f t="shared" si="12"/>
        <v>M0113-A-72-1</v>
      </c>
      <c r="H849" s="17">
        <v>120.99</v>
      </c>
      <c r="I849" s="17">
        <v>122.11</v>
      </c>
    </row>
    <row r="850" spans="1:9">
      <c r="A850" s="17">
        <v>501</v>
      </c>
      <c r="B850" s="17" t="s">
        <v>105</v>
      </c>
      <c r="C850" s="17" t="s">
        <v>92</v>
      </c>
      <c r="D850" s="17">
        <v>73</v>
      </c>
      <c r="E850" s="17" t="s">
        <v>95</v>
      </c>
      <c r="F850" s="17">
        <v>1</v>
      </c>
      <c r="G850" s="17" t="str">
        <f t="shared" si="12"/>
        <v>M0113-A-73-1</v>
      </c>
      <c r="H850" s="17">
        <v>122.49</v>
      </c>
      <c r="I850" s="17">
        <v>122.99</v>
      </c>
    </row>
    <row r="851" spans="1:9">
      <c r="A851" s="17">
        <v>501</v>
      </c>
      <c r="B851" s="17" t="s">
        <v>105</v>
      </c>
      <c r="C851" s="17" t="s">
        <v>92</v>
      </c>
      <c r="D851" s="17">
        <v>74</v>
      </c>
      <c r="E851" s="17" t="s">
        <v>95</v>
      </c>
      <c r="F851" s="17">
        <v>1</v>
      </c>
      <c r="G851" s="17" t="str">
        <f t="shared" si="12"/>
        <v>M0113-A-74-1</v>
      </c>
      <c r="H851" s="17">
        <v>123.99</v>
      </c>
      <c r="I851" s="17">
        <v>124.53</v>
      </c>
    </row>
    <row r="852" spans="1:9">
      <c r="A852" s="17">
        <v>501</v>
      </c>
      <c r="B852" s="17" t="s">
        <v>105</v>
      </c>
      <c r="C852" s="17" t="s">
        <v>92</v>
      </c>
      <c r="D852" s="17">
        <v>75</v>
      </c>
      <c r="E852" s="17" t="s">
        <v>95</v>
      </c>
      <c r="F852" s="17">
        <v>1</v>
      </c>
      <c r="G852" s="17" t="str">
        <f t="shared" si="12"/>
        <v>M0113-A-75-1</v>
      </c>
      <c r="H852" s="17">
        <v>125.49</v>
      </c>
      <c r="I852" s="17">
        <v>126.11</v>
      </c>
    </row>
    <row r="853" spans="1:9">
      <c r="A853" s="17">
        <v>501</v>
      </c>
      <c r="B853" s="17" t="s">
        <v>105</v>
      </c>
      <c r="C853" s="17" t="s">
        <v>92</v>
      </c>
      <c r="D853" s="17">
        <v>75</v>
      </c>
      <c r="E853" s="17" t="s">
        <v>95</v>
      </c>
      <c r="F853" s="17">
        <v>2</v>
      </c>
      <c r="G853" s="17" t="str">
        <f t="shared" si="12"/>
        <v>M0113-A-75-2</v>
      </c>
      <c r="H853" s="17">
        <v>126.11</v>
      </c>
      <c r="I853" s="17">
        <v>126.51</v>
      </c>
    </row>
    <row r="854" spans="1:9">
      <c r="A854" s="17">
        <v>501</v>
      </c>
      <c r="B854" s="17" t="s">
        <v>105</v>
      </c>
      <c r="C854" s="17" t="s">
        <v>92</v>
      </c>
      <c r="D854" s="17">
        <v>76</v>
      </c>
      <c r="E854" s="17" t="s">
        <v>95</v>
      </c>
      <c r="F854" s="17">
        <v>1</v>
      </c>
      <c r="G854" s="17" t="str">
        <f t="shared" si="12"/>
        <v>M0113-A-76-1</v>
      </c>
      <c r="H854" s="17">
        <v>126.99</v>
      </c>
      <c r="I854" s="17">
        <v>127.08</v>
      </c>
    </row>
    <row r="855" spans="1:9">
      <c r="A855" s="17">
        <v>501</v>
      </c>
      <c r="B855" s="17" t="s">
        <v>105</v>
      </c>
      <c r="C855" s="17" t="s">
        <v>92</v>
      </c>
      <c r="D855" s="17">
        <v>77</v>
      </c>
      <c r="E855" s="17" t="s">
        <v>95</v>
      </c>
      <c r="F855" s="17">
        <v>1</v>
      </c>
      <c r="G855" s="17" t="str">
        <f t="shared" si="12"/>
        <v>M0113-A-77-1</v>
      </c>
      <c r="H855" s="17">
        <v>128.49</v>
      </c>
      <c r="I855" s="17">
        <v>128.69</v>
      </c>
    </row>
    <row r="856" spans="1:9">
      <c r="A856" s="17">
        <v>501</v>
      </c>
      <c r="B856" s="17" t="s">
        <v>105</v>
      </c>
      <c r="C856" s="17" t="s">
        <v>92</v>
      </c>
      <c r="D856" s="17">
        <v>78</v>
      </c>
      <c r="E856" s="17" t="s">
        <v>93</v>
      </c>
      <c r="F856" s="17">
        <v>1</v>
      </c>
      <c r="G856" s="17" t="str">
        <f t="shared" si="12"/>
        <v>M0113-A-78-1</v>
      </c>
      <c r="H856" s="17">
        <v>129.99</v>
      </c>
      <c r="I856" s="17">
        <v>131.49</v>
      </c>
    </row>
    <row r="857" spans="1:9">
      <c r="A857" s="17">
        <v>501</v>
      </c>
      <c r="B857" s="17" t="s">
        <v>105</v>
      </c>
      <c r="C857" s="17" t="s">
        <v>92</v>
      </c>
      <c r="D857" s="17">
        <v>78</v>
      </c>
      <c r="E857" s="17" t="s">
        <v>93</v>
      </c>
      <c r="F857" s="17">
        <v>2</v>
      </c>
      <c r="G857" s="17" t="str">
        <f t="shared" si="12"/>
        <v>M0113-A-78-2</v>
      </c>
      <c r="H857" s="17">
        <v>131.49</v>
      </c>
      <c r="I857" s="17">
        <v>132.29</v>
      </c>
    </row>
    <row r="858" spans="1:9">
      <c r="A858" s="17">
        <v>501</v>
      </c>
      <c r="B858" s="17" t="s">
        <v>105</v>
      </c>
      <c r="C858" s="17" t="s">
        <v>92</v>
      </c>
      <c r="D858" s="17">
        <v>80</v>
      </c>
      <c r="E858" s="17" t="s">
        <v>95</v>
      </c>
      <c r="F858" s="17">
        <v>1</v>
      </c>
      <c r="G858" s="17" t="str">
        <f t="shared" si="12"/>
        <v>M0113-A-80-1</v>
      </c>
      <c r="H858" s="17">
        <v>132.29</v>
      </c>
      <c r="I858" s="17">
        <v>132.91</v>
      </c>
    </row>
    <row r="859" spans="1:9">
      <c r="A859" s="17">
        <v>501</v>
      </c>
      <c r="B859" s="17" t="s">
        <v>105</v>
      </c>
      <c r="C859" s="17" t="s">
        <v>92</v>
      </c>
      <c r="D859" s="17">
        <v>81</v>
      </c>
      <c r="E859" s="17" t="s">
        <v>95</v>
      </c>
      <c r="F859" s="17">
        <v>1</v>
      </c>
      <c r="G859" s="17" t="str">
        <f t="shared" si="12"/>
        <v>M0113-A-81-1</v>
      </c>
      <c r="H859" s="17">
        <v>134.49</v>
      </c>
      <c r="I859" s="17">
        <v>135.05000000000001</v>
      </c>
    </row>
    <row r="860" spans="1:9">
      <c r="A860" s="17">
        <v>501</v>
      </c>
      <c r="B860" s="17" t="s">
        <v>105</v>
      </c>
      <c r="C860" s="17" t="s">
        <v>92</v>
      </c>
      <c r="D860" s="17">
        <v>81</v>
      </c>
      <c r="E860" s="17" t="s">
        <v>95</v>
      </c>
      <c r="F860" s="17">
        <v>2</v>
      </c>
      <c r="G860" s="17" t="str">
        <f t="shared" si="12"/>
        <v>M0113-A-81-2</v>
      </c>
      <c r="H860" s="17">
        <v>135.05000000000001</v>
      </c>
      <c r="I860" s="17">
        <v>135.44</v>
      </c>
    </row>
    <row r="861" spans="1:9">
      <c r="A861" s="17">
        <v>501</v>
      </c>
      <c r="B861" s="17" t="s">
        <v>105</v>
      </c>
      <c r="C861" s="17" t="s">
        <v>92</v>
      </c>
      <c r="D861" s="17">
        <v>82</v>
      </c>
      <c r="E861" s="17" t="s">
        <v>95</v>
      </c>
      <c r="F861" s="17">
        <v>1</v>
      </c>
      <c r="G861" s="17" t="str">
        <f t="shared" si="12"/>
        <v>M0113-A-82-1</v>
      </c>
      <c r="H861" s="17">
        <v>135.99</v>
      </c>
      <c r="I861" s="17">
        <v>137.06</v>
      </c>
    </row>
    <row r="862" spans="1:9">
      <c r="A862" s="17">
        <v>501</v>
      </c>
      <c r="B862" s="17" t="s">
        <v>105</v>
      </c>
      <c r="C862" s="17" t="s">
        <v>92</v>
      </c>
      <c r="D862" s="17">
        <v>83</v>
      </c>
      <c r="E862" s="17" t="s">
        <v>95</v>
      </c>
      <c r="F862" s="17">
        <v>1</v>
      </c>
      <c r="G862" s="17" t="str">
        <f t="shared" si="12"/>
        <v>M0113-A-83-1</v>
      </c>
      <c r="H862" s="17">
        <v>137.49</v>
      </c>
      <c r="I862" s="17">
        <v>138.91999999999999</v>
      </c>
    </row>
    <row r="863" spans="1:9">
      <c r="A863" s="17">
        <v>501</v>
      </c>
      <c r="B863" s="17" t="s">
        <v>105</v>
      </c>
      <c r="C863" s="17" t="s">
        <v>92</v>
      </c>
      <c r="D863" s="17">
        <v>83</v>
      </c>
      <c r="E863" s="17" t="s">
        <v>95</v>
      </c>
      <c r="F863" s="17">
        <v>2</v>
      </c>
      <c r="G863" s="17" t="str">
        <f t="shared" si="12"/>
        <v>M0113-A-83-2</v>
      </c>
      <c r="H863" s="17">
        <v>138.91999999999999</v>
      </c>
      <c r="I863" s="17">
        <v>139.02000000000001</v>
      </c>
    </row>
    <row r="864" spans="1:9">
      <c r="A864" s="17">
        <v>501</v>
      </c>
      <c r="B864" s="17" t="s">
        <v>105</v>
      </c>
      <c r="C864" s="17" t="s">
        <v>92</v>
      </c>
      <c r="D864" s="17">
        <v>84</v>
      </c>
      <c r="E864" s="17" t="s">
        <v>95</v>
      </c>
      <c r="F864" s="17">
        <v>1</v>
      </c>
      <c r="G864" s="17" t="str">
        <f t="shared" si="12"/>
        <v>M0113-A-84-1</v>
      </c>
      <c r="H864" s="17">
        <v>138.99</v>
      </c>
      <c r="I864" s="17">
        <v>139.69</v>
      </c>
    </row>
    <row r="865" spans="1:9">
      <c r="A865" s="17">
        <v>501</v>
      </c>
      <c r="B865" s="17" t="s">
        <v>105</v>
      </c>
      <c r="C865" s="17" t="s">
        <v>92</v>
      </c>
      <c r="D865" s="17">
        <v>84</v>
      </c>
      <c r="E865" s="17" t="s">
        <v>95</v>
      </c>
      <c r="F865" s="17">
        <v>2</v>
      </c>
      <c r="G865" s="17" t="str">
        <f t="shared" si="12"/>
        <v>M0113-A-84-2</v>
      </c>
      <c r="H865" s="17">
        <v>139.69</v>
      </c>
      <c r="I865" s="17">
        <v>140.30000000000001</v>
      </c>
    </row>
    <row r="866" spans="1:9">
      <c r="A866" s="17">
        <v>501</v>
      </c>
      <c r="B866" s="17" t="s">
        <v>105</v>
      </c>
      <c r="C866" s="17" t="s">
        <v>92</v>
      </c>
      <c r="D866" s="17">
        <v>85</v>
      </c>
      <c r="E866" s="17" t="s">
        <v>95</v>
      </c>
      <c r="F866" s="17">
        <v>1</v>
      </c>
      <c r="G866" s="17" t="str">
        <f t="shared" si="12"/>
        <v>M0113-A-85-1</v>
      </c>
      <c r="H866" s="17">
        <v>140.49</v>
      </c>
      <c r="I866" s="17">
        <v>141.99</v>
      </c>
    </row>
    <row r="867" spans="1:9">
      <c r="A867" s="17">
        <v>501</v>
      </c>
      <c r="B867" s="17" t="s">
        <v>105</v>
      </c>
      <c r="C867" s="17" t="s">
        <v>92</v>
      </c>
      <c r="D867" s="17">
        <v>85</v>
      </c>
      <c r="E867" s="17" t="s">
        <v>95</v>
      </c>
      <c r="F867" s="17">
        <v>2</v>
      </c>
      <c r="G867" s="17" t="str">
        <f t="shared" si="12"/>
        <v>M0113-A-85-2</v>
      </c>
      <c r="H867" s="17">
        <v>141.99</v>
      </c>
      <c r="I867" s="17">
        <v>143.24</v>
      </c>
    </row>
    <row r="868" spans="1:9">
      <c r="A868" s="17">
        <v>501</v>
      </c>
      <c r="B868" s="17" t="s">
        <v>105</v>
      </c>
      <c r="C868" s="17" t="s">
        <v>92</v>
      </c>
      <c r="D868" s="17">
        <v>86</v>
      </c>
      <c r="E868" s="17" t="s">
        <v>95</v>
      </c>
      <c r="F868" s="17">
        <v>1</v>
      </c>
      <c r="G868" s="17" t="str">
        <f t="shared" si="12"/>
        <v>M0113-A-86-1</v>
      </c>
      <c r="H868" s="17">
        <v>143.49</v>
      </c>
      <c r="I868" s="17">
        <v>144.49</v>
      </c>
    </row>
    <row r="869" spans="1:9">
      <c r="A869" s="17">
        <v>501</v>
      </c>
      <c r="B869" s="17" t="s">
        <v>105</v>
      </c>
      <c r="C869" s="17" t="s">
        <v>92</v>
      </c>
      <c r="D869" s="17">
        <v>86</v>
      </c>
      <c r="E869" s="17" t="s">
        <v>95</v>
      </c>
      <c r="F869" s="17">
        <v>2</v>
      </c>
      <c r="G869" s="17" t="str">
        <f t="shared" si="12"/>
        <v>M0113-A-86-2</v>
      </c>
      <c r="H869" s="17">
        <v>144.49</v>
      </c>
      <c r="I869" s="17">
        <v>145.16</v>
      </c>
    </row>
    <row r="870" spans="1:9">
      <c r="A870" s="17">
        <v>501</v>
      </c>
      <c r="B870" s="17" t="s">
        <v>105</v>
      </c>
      <c r="C870" s="17" t="s">
        <v>92</v>
      </c>
      <c r="D870" s="17">
        <v>87</v>
      </c>
      <c r="E870" s="17" t="s">
        <v>95</v>
      </c>
      <c r="F870" s="17">
        <v>1</v>
      </c>
      <c r="G870" s="17" t="str">
        <f t="shared" si="12"/>
        <v>M0113-A-87-1</v>
      </c>
      <c r="H870" s="17">
        <v>146.49</v>
      </c>
      <c r="I870" s="17">
        <v>147.49</v>
      </c>
    </row>
    <row r="871" spans="1:9">
      <c r="A871" s="17">
        <v>501</v>
      </c>
      <c r="B871" s="17" t="s">
        <v>105</v>
      </c>
      <c r="C871" s="17" t="s">
        <v>92</v>
      </c>
      <c r="D871" s="17">
        <v>87</v>
      </c>
      <c r="E871" s="17" t="s">
        <v>95</v>
      </c>
      <c r="F871" s="17">
        <v>2</v>
      </c>
      <c r="G871" s="17" t="str">
        <f t="shared" si="12"/>
        <v>M0113-A-87-2</v>
      </c>
      <c r="H871" s="17">
        <v>147.49</v>
      </c>
      <c r="I871" s="17">
        <v>148</v>
      </c>
    </row>
    <row r="872" spans="1:9">
      <c r="A872" s="17">
        <v>501</v>
      </c>
      <c r="B872" s="17" t="s">
        <v>105</v>
      </c>
      <c r="C872" s="17" t="s">
        <v>92</v>
      </c>
      <c r="D872" s="17">
        <v>88</v>
      </c>
      <c r="E872" s="17" t="s">
        <v>95</v>
      </c>
      <c r="F872" s="17">
        <v>1</v>
      </c>
      <c r="G872" s="17" t="str">
        <f t="shared" si="12"/>
        <v>M0113-A-88-1</v>
      </c>
      <c r="H872" s="17">
        <v>148.49</v>
      </c>
      <c r="I872" s="17">
        <v>149.99</v>
      </c>
    </row>
    <row r="873" spans="1:9">
      <c r="A873" s="17">
        <v>501</v>
      </c>
      <c r="B873" s="17" t="s">
        <v>105</v>
      </c>
      <c r="C873" s="17" t="s">
        <v>92</v>
      </c>
      <c r="D873" s="17">
        <v>88</v>
      </c>
      <c r="E873" s="17" t="s">
        <v>95</v>
      </c>
      <c r="F873" s="17">
        <v>2</v>
      </c>
      <c r="G873" s="17" t="str">
        <f t="shared" si="12"/>
        <v>M0113-A-88-2</v>
      </c>
      <c r="H873" s="17">
        <v>149.99</v>
      </c>
      <c r="I873" s="17">
        <v>150.54</v>
      </c>
    </row>
    <row r="874" spans="1:9">
      <c r="A874" s="17">
        <v>501</v>
      </c>
      <c r="B874" s="17" t="s">
        <v>105</v>
      </c>
      <c r="C874" s="17" t="s">
        <v>92</v>
      </c>
      <c r="D874" s="17">
        <v>89</v>
      </c>
      <c r="E874" s="17" t="s">
        <v>95</v>
      </c>
      <c r="F874" s="17">
        <v>1</v>
      </c>
      <c r="G874" s="17" t="str">
        <f t="shared" si="12"/>
        <v>M0113-A-89-1</v>
      </c>
      <c r="H874" s="17">
        <v>151.49</v>
      </c>
      <c r="I874" s="17">
        <v>152.34</v>
      </c>
    </row>
    <row r="875" spans="1:9">
      <c r="A875" s="17">
        <v>501</v>
      </c>
      <c r="B875" s="17" t="s">
        <v>105</v>
      </c>
      <c r="C875" s="17" t="s">
        <v>92</v>
      </c>
      <c r="D875" s="17">
        <v>79</v>
      </c>
      <c r="E875" s="17" t="s">
        <v>93</v>
      </c>
      <c r="F875" s="17">
        <v>1</v>
      </c>
      <c r="G875" s="17" t="str">
        <f t="shared" si="12"/>
        <v>M0113-A-79-1</v>
      </c>
      <c r="H875" s="17">
        <v>131.59</v>
      </c>
      <c r="I875" s="17">
        <v>131.75</v>
      </c>
    </row>
    <row r="876" spans="1:9">
      <c r="A876" s="17">
        <v>501</v>
      </c>
      <c r="B876" s="17" t="s">
        <v>105</v>
      </c>
      <c r="C876" s="17" t="s">
        <v>92</v>
      </c>
      <c r="D876" s="17">
        <v>90</v>
      </c>
      <c r="E876" s="17" t="s">
        <v>95</v>
      </c>
      <c r="F876" s="17">
        <v>1</v>
      </c>
      <c r="G876" s="17" t="str">
        <f t="shared" si="12"/>
        <v>M0113-A-90-1</v>
      </c>
      <c r="H876" s="17">
        <v>152.59</v>
      </c>
      <c r="I876" s="17">
        <v>153.63999999999999</v>
      </c>
    </row>
    <row r="877" spans="1:9">
      <c r="A877" s="17">
        <v>501</v>
      </c>
      <c r="B877" s="17" t="s">
        <v>105</v>
      </c>
      <c r="C877" s="17" t="s">
        <v>92</v>
      </c>
      <c r="D877" s="17">
        <v>90</v>
      </c>
      <c r="E877" s="17" t="s">
        <v>95</v>
      </c>
      <c r="F877" s="17">
        <v>2</v>
      </c>
      <c r="G877" s="17" t="str">
        <f t="shared" si="12"/>
        <v>M0113-A-90-2</v>
      </c>
      <c r="H877" s="17">
        <v>153.63999999999999</v>
      </c>
      <c r="I877" s="17">
        <v>154.13999999999999</v>
      </c>
    </row>
    <row r="878" spans="1:9">
      <c r="A878" s="17">
        <v>501</v>
      </c>
      <c r="B878" s="17" t="s">
        <v>105</v>
      </c>
      <c r="C878" s="17" t="s">
        <v>92</v>
      </c>
      <c r="D878" s="17">
        <v>91</v>
      </c>
      <c r="E878" s="17" t="s">
        <v>95</v>
      </c>
      <c r="F878" s="17">
        <v>1</v>
      </c>
      <c r="G878" s="17" t="str">
        <f t="shared" si="12"/>
        <v>M0113-A-91-1</v>
      </c>
      <c r="H878" s="17">
        <v>155.49</v>
      </c>
      <c r="I878" s="17">
        <v>155.88999999999999</v>
      </c>
    </row>
    <row r="879" spans="1:9">
      <c r="A879" s="17">
        <v>501</v>
      </c>
      <c r="B879" s="17" t="s">
        <v>105</v>
      </c>
      <c r="C879" s="17" t="s">
        <v>92</v>
      </c>
      <c r="D879" s="17">
        <v>92</v>
      </c>
      <c r="E879" s="17" t="s">
        <v>95</v>
      </c>
      <c r="F879" s="17">
        <v>1</v>
      </c>
      <c r="G879" s="17" t="str">
        <f t="shared" si="12"/>
        <v>M0113-A-92-1</v>
      </c>
      <c r="H879" s="17">
        <v>158.49</v>
      </c>
      <c r="I879" s="17">
        <v>159.07</v>
      </c>
    </row>
    <row r="880" spans="1:9">
      <c r="A880" s="17">
        <v>501</v>
      </c>
      <c r="B880" s="17" t="s">
        <v>105</v>
      </c>
      <c r="C880" s="17" t="s">
        <v>92</v>
      </c>
      <c r="D880" s="17">
        <v>93</v>
      </c>
      <c r="E880" s="17" t="s">
        <v>95</v>
      </c>
      <c r="F880" s="17">
        <v>1</v>
      </c>
      <c r="G880" s="17" t="str">
        <f t="shared" si="12"/>
        <v>M0113-A-93-1</v>
      </c>
      <c r="H880" s="17">
        <v>161.49</v>
      </c>
      <c r="I880" s="17">
        <v>162.01</v>
      </c>
    </row>
    <row r="881" spans="1:9">
      <c r="A881" s="17">
        <v>501</v>
      </c>
      <c r="B881" s="17" t="s">
        <v>105</v>
      </c>
      <c r="C881" s="17" t="s">
        <v>92</v>
      </c>
      <c r="D881" s="17">
        <v>94</v>
      </c>
      <c r="E881" s="17" t="s">
        <v>95</v>
      </c>
      <c r="F881" s="17">
        <v>1</v>
      </c>
      <c r="G881" s="17" t="str">
        <f t="shared" si="12"/>
        <v>M0113-A-94-1</v>
      </c>
      <c r="H881" s="17">
        <v>162.99</v>
      </c>
      <c r="I881" s="17">
        <v>163.31</v>
      </c>
    </row>
    <row r="882" spans="1:9">
      <c r="A882" s="17">
        <v>501</v>
      </c>
      <c r="B882" s="17" t="s">
        <v>105</v>
      </c>
      <c r="C882" s="17" t="s">
        <v>92</v>
      </c>
      <c r="D882" s="17">
        <v>95</v>
      </c>
      <c r="E882" s="17" t="s">
        <v>95</v>
      </c>
      <c r="F882" s="17">
        <v>1</v>
      </c>
      <c r="G882" s="17" t="str">
        <f t="shared" si="12"/>
        <v>M0113-A-95-1</v>
      </c>
      <c r="H882" s="17">
        <v>164.49</v>
      </c>
      <c r="I882" s="17">
        <v>164.88</v>
      </c>
    </row>
    <row r="883" spans="1:9">
      <c r="A883" s="17">
        <v>501</v>
      </c>
      <c r="B883" s="17" t="s">
        <v>105</v>
      </c>
      <c r="C883" s="17" t="s">
        <v>92</v>
      </c>
      <c r="D883" s="17">
        <v>95</v>
      </c>
      <c r="E883" s="17" t="s">
        <v>95</v>
      </c>
      <c r="F883" s="17">
        <v>2</v>
      </c>
      <c r="G883" s="17" t="str">
        <f t="shared" si="12"/>
        <v>M0113-A-95-2</v>
      </c>
      <c r="H883" s="17">
        <v>164.88</v>
      </c>
      <c r="I883" s="17">
        <v>165.23</v>
      </c>
    </row>
    <row r="884" spans="1:9">
      <c r="A884" s="17">
        <v>501</v>
      </c>
      <c r="B884" s="17" t="s">
        <v>105</v>
      </c>
      <c r="C884" s="17" t="s">
        <v>92</v>
      </c>
      <c r="D884" s="17">
        <v>96</v>
      </c>
      <c r="E884" s="17" t="s">
        <v>95</v>
      </c>
      <c r="F884" s="17">
        <v>1</v>
      </c>
      <c r="G884" s="17" t="str">
        <f t="shared" si="12"/>
        <v>M0113-A-96-1</v>
      </c>
      <c r="H884" s="17">
        <v>165.99</v>
      </c>
      <c r="I884" s="17">
        <v>166.36</v>
      </c>
    </row>
    <row r="885" spans="1:9">
      <c r="A885" s="17">
        <v>501</v>
      </c>
      <c r="B885" s="17" t="s">
        <v>105</v>
      </c>
      <c r="C885" s="17" t="s">
        <v>92</v>
      </c>
      <c r="D885" s="17">
        <v>96</v>
      </c>
      <c r="E885" s="17" t="s">
        <v>95</v>
      </c>
      <c r="F885" s="17">
        <v>2</v>
      </c>
      <c r="G885" s="17" t="str">
        <f t="shared" si="12"/>
        <v>M0113-A-96-2</v>
      </c>
      <c r="H885" s="17">
        <v>166.36</v>
      </c>
      <c r="I885" s="17">
        <v>166.48</v>
      </c>
    </row>
    <row r="886" spans="1:9">
      <c r="A886" s="17">
        <v>501</v>
      </c>
      <c r="B886" s="17" t="s">
        <v>105</v>
      </c>
      <c r="C886" s="17" t="s">
        <v>92</v>
      </c>
      <c r="D886" s="17">
        <v>97</v>
      </c>
      <c r="E886" s="17" t="s">
        <v>95</v>
      </c>
      <c r="F886" s="17">
        <v>1</v>
      </c>
      <c r="G886" s="17" t="str">
        <f t="shared" si="12"/>
        <v>M0113-A-97-1</v>
      </c>
      <c r="H886" s="17">
        <v>167.49</v>
      </c>
      <c r="I886" s="17">
        <v>168.94</v>
      </c>
    </row>
    <row r="887" spans="1:9">
      <c r="A887" s="17">
        <v>501</v>
      </c>
      <c r="B887" s="17" t="s">
        <v>105</v>
      </c>
      <c r="C887" s="17" t="s">
        <v>92</v>
      </c>
      <c r="D887" s="17">
        <v>98</v>
      </c>
      <c r="E887" s="17" t="s">
        <v>95</v>
      </c>
      <c r="F887" s="17">
        <v>1</v>
      </c>
      <c r="G887" s="17" t="str">
        <f t="shared" si="12"/>
        <v>M0113-A-98-1</v>
      </c>
      <c r="H887" s="17">
        <v>168.99</v>
      </c>
      <c r="I887" s="17">
        <v>169.45</v>
      </c>
    </row>
    <row r="888" spans="1:9">
      <c r="A888" s="17">
        <v>501</v>
      </c>
      <c r="B888" s="17" t="s">
        <v>105</v>
      </c>
      <c r="C888" s="17" t="s">
        <v>92</v>
      </c>
      <c r="D888" s="17">
        <v>99</v>
      </c>
      <c r="E888" s="17" t="s">
        <v>95</v>
      </c>
      <c r="F888" s="17">
        <v>1</v>
      </c>
      <c r="G888" s="17" t="str">
        <f t="shared" ref="G888:G951" si="13">CONCATENATE(B888, "-",C888, "-", D888, "-", F888)</f>
        <v>M0113-A-99-1</v>
      </c>
      <c r="H888" s="17">
        <v>170.49</v>
      </c>
      <c r="I888" s="17">
        <v>171.49</v>
      </c>
    </row>
    <row r="889" spans="1:9">
      <c r="A889" s="17">
        <v>501</v>
      </c>
      <c r="B889" s="17" t="s">
        <v>105</v>
      </c>
      <c r="C889" s="17" t="s">
        <v>92</v>
      </c>
      <c r="D889" s="17">
        <v>99</v>
      </c>
      <c r="E889" s="17" t="s">
        <v>95</v>
      </c>
      <c r="F889" s="17">
        <v>2</v>
      </c>
      <c r="G889" s="17" t="str">
        <f t="shared" si="13"/>
        <v>M0113-A-99-2</v>
      </c>
      <c r="H889" s="17">
        <v>171.49</v>
      </c>
      <c r="I889" s="17">
        <v>171.91</v>
      </c>
    </row>
    <row r="890" spans="1:9">
      <c r="A890" s="17">
        <v>501</v>
      </c>
      <c r="B890" s="17" t="s">
        <v>105</v>
      </c>
      <c r="C890" s="17" t="s">
        <v>92</v>
      </c>
      <c r="D890" s="17">
        <v>100</v>
      </c>
      <c r="E890" s="17" t="s">
        <v>95</v>
      </c>
      <c r="F890" s="17">
        <v>1</v>
      </c>
      <c r="G890" s="17" t="str">
        <f t="shared" si="13"/>
        <v>M0113-A-100-1</v>
      </c>
      <c r="H890" s="17">
        <v>171.99</v>
      </c>
      <c r="I890" s="17">
        <v>172.46</v>
      </c>
    </row>
    <row r="891" spans="1:9">
      <c r="A891" s="17">
        <v>501</v>
      </c>
      <c r="B891" s="17" t="s">
        <v>105</v>
      </c>
      <c r="C891" s="17" t="s">
        <v>92</v>
      </c>
      <c r="D891" s="17">
        <v>101</v>
      </c>
      <c r="E891" s="17" t="s">
        <v>95</v>
      </c>
      <c r="F891" s="17">
        <v>1</v>
      </c>
      <c r="G891" s="17" t="str">
        <f t="shared" si="13"/>
        <v>M0113-A-101-1</v>
      </c>
      <c r="H891" s="17">
        <v>173.49</v>
      </c>
      <c r="I891" s="17">
        <v>173.96</v>
      </c>
    </row>
    <row r="892" spans="1:9">
      <c r="A892" s="17">
        <v>501</v>
      </c>
      <c r="B892" s="17" t="s">
        <v>105</v>
      </c>
      <c r="C892" s="17" t="s">
        <v>92</v>
      </c>
      <c r="D892" s="17">
        <v>102</v>
      </c>
      <c r="E892" s="17" t="s">
        <v>95</v>
      </c>
      <c r="F892" s="17">
        <v>1</v>
      </c>
      <c r="G892" s="17" t="str">
        <f t="shared" si="13"/>
        <v>M0113-A-102-1</v>
      </c>
      <c r="H892" s="17">
        <v>174.99</v>
      </c>
      <c r="I892" s="17">
        <v>175.89</v>
      </c>
    </row>
    <row r="893" spans="1:9">
      <c r="A893" s="17">
        <v>501</v>
      </c>
      <c r="B893" s="17" t="s">
        <v>105</v>
      </c>
      <c r="C893" s="17" t="s">
        <v>92</v>
      </c>
      <c r="D893" s="17">
        <v>102</v>
      </c>
      <c r="E893" s="17" t="s">
        <v>95</v>
      </c>
      <c r="F893" s="17">
        <v>2</v>
      </c>
      <c r="G893" s="17" t="str">
        <f t="shared" si="13"/>
        <v>M0113-A-102-2</v>
      </c>
      <c r="H893" s="17">
        <v>175.89</v>
      </c>
      <c r="I893" s="17">
        <v>176.34</v>
      </c>
    </row>
    <row r="894" spans="1:9">
      <c r="A894" s="17">
        <v>501</v>
      </c>
      <c r="B894" s="17" t="s">
        <v>105</v>
      </c>
      <c r="C894" s="17" t="s">
        <v>92</v>
      </c>
      <c r="D894" s="17">
        <v>103</v>
      </c>
      <c r="E894" s="17" t="s">
        <v>95</v>
      </c>
      <c r="F894" s="17">
        <v>1</v>
      </c>
      <c r="G894" s="17" t="str">
        <f t="shared" si="13"/>
        <v>M0113-A-103-1</v>
      </c>
      <c r="H894" s="17">
        <v>176.49</v>
      </c>
      <c r="I894" s="17">
        <v>176.89</v>
      </c>
    </row>
    <row r="895" spans="1:9">
      <c r="A895" s="17">
        <v>501</v>
      </c>
      <c r="B895" s="17" t="s">
        <v>105</v>
      </c>
      <c r="C895" s="17" t="s">
        <v>92</v>
      </c>
      <c r="D895" s="17">
        <v>104</v>
      </c>
      <c r="E895" s="17" t="s">
        <v>95</v>
      </c>
      <c r="F895" s="17">
        <v>1</v>
      </c>
      <c r="G895" s="17" t="str">
        <f t="shared" si="13"/>
        <v>M0113-A-104-1</v>
      </c>
      <c r="H895" s="17">
        <v>177.99</v>
      </c>
      <c r="I895" s="17">
        <v>179.45</v>
      </c>
    </row>
    <row r="896" spans="1:9">
      <c r="A896" s="17">
        <v>501</v>
      </c>
      <c r="B896" s="17" t="s">
        <v>105</v>
      </c>
      <c r="C896" s="17" t="s">
        <v>92</v>
      </c>
      <c r="D896" s="17">
        <v>105</v>
      </c>
      <c r="E896" s="17" t="s">
        <v>95</v>
      </c>
      <c r="F896" s="17">
        <v>1</v>
      </c>
      <c r="G896" s="17" t="str">
        <f t="shared" si="13"/>
        <v>M0113-A-105-1</v>
      </c>
      <c r="H896" s="17">
        <v>179.49</v>
      </c>
      <c r="I896" s="17">
        <v>180.49</v>
      </c>
    </row>
    <row r="897" spans="1:9">
      <c r="A897" s="17">
        <v>501</v>
      </c>
      <c r="B897" s="17" t="s">
        <v>105</v>
      </c>
      <c r="C897" s="17" t="s">
        <v>92</v>
      </c>
      <c r="D897" s="17">
        <v>105</v>
      </c>
      <c r="E897" s="17" t="s">
        <v>95</v>
      </c>
      <c r="F897" s="17">
        <v>2</v>
      </c>
      <c r="G897" s="17" t="str">
        <f t="shared" si="13"/>
        <v>M0113-A-105-2</v>
      </c>
      <c r="H897" s="17">
        <v>180.49</v>
      </c>
      <c r="I897" s="17">
        <v>181.19</v>
      </c>
    </row>
    <row r="898" spans="1:9">
      <c r="A898" s="17">
        <v>501</v>
      </c>
      <c r="B898" s="17" t="s">
        <v>105</v>
      </c>
      <c r="C898" s="17" t="s">
        <v>92</v>
      </c>
      <c r="D898" s="17">
        <v>105</v>
      </c>
      <c r="E898" s="17" t="s">
        <v>95</v>
      </c>
      <c r="F898" s="17">
        <v>3</v>
      </c>
      <c r="G898" s="17" t="str">
        <f t="shared" si="13"/>
        <v>M0113-A-105-3</v>
      </c>
      <c r="H898" s="17">
        <v>181.19</v>
      </c>
      <c r="I898" s="17">
        <v>181.28</v>
      </c>
    </row>
    <row r="899" spans="1:9">
      <c r="A899" s="17">
        <v>501</v>
      </c>
      <c r="B899" s="17" t="s">
        <v>105</v>
      </c>
      <c r="C899" s="17" t="s">
        <v>92</v>
      </c>
      <c r="D899" s="17">
        <v>106</v>
      </c>
      <c r="E899" s="17" t="s">
        <v>95</v>
      </c>
      <c r="F899" s="17">
        <v>1</v>
      </c>
      <c r="G899" s="17" t="str">
        <f t="shared" si="13"/>
        <v>M0113-A-106-1</v>
      </c>
      <c r="H899" s="17">
        <v>182.49</v>
      </c>
      <c r="I899" s="17">
        <v>182.72</v>
      </c>
    </row>
    <row r="900" spans="1:9">
      <c r="A900" s="17">
        <v>501</v>
      </c>
      <c r="B900" s="17" t="s">
        <v>105</v>
      </c>
      <c r="C900" s="17" t="s">
        <v>92</v>
      </c>
      <c r="D900" s="17">
        <v>107</v>
      </c>
      <c r="E900" s="17" t="s">
        <v>95</v>
      </c>
      <c r="F900" s="17">
        <v>1</v>
      </c>
      <c r="G900" s="17" t="str">
        <f t="shared" si="13"/>
        <v>M0113-A-107-1</v>
      </c>
      <c r="H900" s="17">
        <v>185.49</v>
      </c>
      <c r="I900" s="17">
        <v>186.49</v>
      </c>
    </row>
    <row r="901" spans="1:9">
      <c r="A901" s="17">
        <v>501</v>
      </c>
      <c r="B901" s="17" t="s">
        <v>105</v>
      </c>
      <c r="C901" s="17" t="s">
        <v>92</v>
      </c>
      <c r="D901" s="17">
        <v>107</v>
      </c>
      <c r="E901" s="17" t="s">
        <v>95</v>
      </c>
      <c r="F901" s="17">
        <v>2</v>
      </c>
      <c r="G901" s="17" t="str">
        <f t="shared" si="13"/>
        <v>M0113-A-107-2</v>
      </c>
      <c r="H901" s="17">
        <v>186.49</v>
      </c>
      <c r="I901" s="17">
        <v>187.07</v>
      </c>
    </row>
    <row r="902" spans="1:9">
      <c r="A902" s="17">
        <v>501</v>
      </c>
      <c r="B902" s="17" t="s">
        <v>105</v>
      </c>
      <c r="C902" s="17" t="s">
        <v>92</v>
      </c>
      <c r="D902" s="17">
        <v>108</v>
      </c>
      <c r="E902" s="17" t="s">
        <v>95</v>
      </c>
      <c r="F902" s="17">
        <v>1</v>
      </c>
      <c r="G902" s="17" t="str">
        <f t="shared" si="13"/>
        <v>M0113-A-108-1</v>
      </c>
      <c r="H902" s="17">
        <v>186.99</v>
      </c>
      <c r="I902" s="17">
        <v>188.03</v>
      </c>
    </row>
    <row r="903" spans="1:9">
      <c r="A903" s="17">
        <v>501</v>
      </c>
      <c r="B903" s="17" t="s">
        <v>105</v>
      </c>
      <c r="C903" s="17" t="s">
        <v>92</v>
      </c>
      <c r="D903" s="17">
        <v>109</v>
      </c>
      <c r="E903" s="17" t="s">
        <v>95</v>
      </c>
      <c r="F903" s="17">
        <v>1</v>
      </c>
      <c r="G903" s="17" t="str">
        <f t="shared" si="13"/>
        <v>M0113-A-109-1</v>
      </c>
      <c r="H903" s="17">
        <v>188.49</v>
      </c>
      <c r="I903" s="17">
        <v>188.75</v>
      </c>
    </row>
    <row r="904" spans="1:9">
      <c r="A904" s="17">
        <v>501</v>
      </c>
      <c r="B904" s="17" t="s">
        <v>105</v>
      </c>
      <c r="C904" s="17" t="s">
        <v>92</v>
      </c>
      <c r="D904" s="17">
        <v>110</v>
      </c>
      <c r="E904" s="17" t="s">
        <v>95</v>
      </c>
      <c r="F904" s="17">
        <v>1</v>
      </c>
      <c r="G904" s="17" t="str">
        <f t="shared" si="13"/>
        <v>M0113-A-110-1</v>
      </c>
      <c r="H904" s="17">
        <v>189.99</v>
      </c>
      <c r="I904" s="17">
        <v>190.98</v>
      </c>
    </row>
    <row r="905" spans="1:9">
      <c r="A905" s="17">
        <v>501</v>
      </c>
      <c r="B905" s="17" t="s">
        <v>105</v>
      </c>
      <c r="C905" s="17" t="s">
        <v>92</v>
      </c>
      <c r="D905" s="17">
        <v>110</v>
      </c>
      <c r="E905" s="17" t="s">
        <v>95</v>
      </c>
      <c r="F905" s="17">
        <v>2</v>
      </c>
      <c r="G905" s="17" t="str">
        <f t="shared" si="13"/>
        <v>M0113-A-110-2</v>
      </c>
      <c r="H905" s="17">
        <v>190.98</v>
      </c>
      <c r="I905" s="17">
        <v>191.48</v>
      </c>
    </row>
    <row r="906" spans="1:9">
      <c r="A906" s="17">
        <v>501</v>
      </c>
      <c r="B906" s="17" t="s">
        <v>105</v>
      </c>
      <c r="C906" s="17" t="s">
        <v>92</v>
      </c>
      <c r="D906" s="17">
        <v>111</v>
      </c>
      <c r="E906" s="17" t="s">
        <v>95</v>
      </c>
      <c r="F906" s="17">
        <v>1</v>
      </c>
      <c r="G906" s="17" t="str">
        <f t="shared" si="13"/>
        <v>M0113-A-111-1</v>
      </c>
      <c r="H906" s="17">
        <v>191.49</v>
      </c>
      <c r="I906" s="17">
        <v>191.74</v>
      </c>
    </row>
    <row r="907" spans="1:9">
      <c r="A907" s="17">
        <v>501</v>
      </c>
      <c r="B907" s="17" t="s">
        <v>105</v>
      </c>
      <c r="C907" s="17" t="s">
        <v>92</v>
      </c>
      <c r="D907" s="17">
        <v>112</v>
      </c>
      <c r="E907" s="17" t="s">
        <v>95</v>
      </c>
      <c r="F907" s="17">
        <v>1</v>
      </c>
      <c r="G907" s="17" t="str">
        <f t="shared" si="13"/>
        <v>M0113-A-112-1</v>
      </c>
      <c r="H907" s="17">
        <v>192.99</v>
      </c>
      <c r="I907" s="17">
        <v>193.26</v>
      </c>
    </row>
    <row r="908" spans="1:9">
      <c r="A908" s="17">
        <v>501</v>
      </c>
      <c r="B908" s="17" t="s">
        <v>105</v>
      </c>
      <c r="C908" s="17" t="s">
        <v>92</v>
      </c>
      <c r="D908" s="17">
        <v>114</v>
      </c>
      <c r="E908" s="17" t="s">
        <v>95</v>
      </c>
      <c r="F908" s="17">
        <v>1</v>
      </c>
      <c r="G908" s="17" t="str">
        <f t="shared" si="13"/>
        <v>M0113-A-114-1</v>
      </c>
      <c r="H908" s="17">
        <v>195.99</v>
      </c>
      <c r="I908" s="17">
        <v>196.42</v>
      </c>
    </row>
    <row r="909" spans="1:9">
      <c r="A909" s="17">
        <v>501</v>
      </c>
      <c r="B909" s="17" t="s">
        <v>105</v>
      </c>
      <c r="C909" s="17" t="s">
        <v>92</v>
      </c>
      <c r="D909" s="17">
        <v>115</v>
      </c>
      <c r="E909" s="17" t="s">
        <v>95</v>
      </c>
      <c r="F909" s="17">
        <v>1</v>
      </c>
      <c r="G909" s="17" t="str">
        <f t="shared" si="13"/>
        <v>M0113-A-115-1</v>
      </c>
      <c r="H909" s="17">
        <v>197.49</v>
      </c>
      <c r="I909" s="17">
        <v>197.9</v>
      </c>
    </row>
    <row r="910" spans="1:9">
      <c r="A910" s="17">
        <v>501</v>
      </c>
      <c r="B910" s="17" t="s">
        <v>105</v>
      </c>
      <c r="C910" s="17" t="s">
        <v>92</v>
      </c>
      <c r="D910" s="17">
        <v>116</v>
      </c>
      <c r="E910" s="17" t="s">
        <v>95</v>
      </c>
      <c r="F910" s="17">
        <v>1</v>
      </c>
      <c r="G910" s="17" t="str">
        <f t="shared" si="13"/>
        <v>M0113-A-116-1</v>
      </c>
      <c r="H910" s="17">
        <v>198.99</v>
      </c>
      <c r="I910" s="17">
        <v>200</v>
      </c>
    </row>
    <row r="911" spans="1:9">
      <c r="A911" s="17">
        <v>501</v>
      </c>
      <c r="B911" s="17" t="s">
        <v>105</v>
      </c>
      <c r="C911" s="17" t="s">
        <v>92</v>
      </c>
      <c r="D911" s="17">
        <v>117</v>
      </c>
      <c r="E911" s="17" t="s">
        <v>95</v>
      </c>
      <c r="F911" s="17">
        <v>1</v>
      </c>
      <c r="G911" s="17" t="str">
        <f t="shared" si="13"/>
        <v>M0113-A-117-1</v>
      </c>
      <c r="H911" s="17">
        <v>200.49</v>
      </c>
      <c r="I911" s="17">
        <v>200.94</v>
      </c>
    </row>
    <row r="912" spans="1:9">
      <c r="A912" s="17">
        <v>501</v>
      </c>
      <c r="B912" s="17" t="s">
        <v>105</v>
      </c>
      <c r="C912" s="17" t="s">
        <v>92</v>
      </c>
      <c r="D912" s="17">
        <v>117</v>
      </c>
      <c r="E912" s="17" t="s">
        <v>95</v>
      </c>
      <c r="F912" s="17">
        <v>2</v>
      </c>
      <c r="G912" s="17" t="str">
        <f t="shared" si="13"/>
        <v>M0113-A-117-2</v>
      </c>
      <c r="H912" s="17">
        <v>200.94</v>
      </c>
      <c r="I912" s="17">
        <v>201.33</v>
      </c>
    </row>
    <row r="913" spans="1:9">
      <c r="A913" s="17">
        <v>501</v>
      </c>
      <c r="B913" s="17" t="s">
        <v>105</v>
      </c>
      <c r="C913" s="17" t="s">
        <v>92</v>
      </c>
      <c r="D913" s="17">
        <v>118</v>
      </c>
      <c r="E913" s="17" t="s">
        <v>95</v>
      </c>
      <c r="F913" s="17">
        <v>1</v>
      </c>
      <c r="G913" s="17" t="str">
        <f t="shared" si="13"/>
        <v>M0113-A-118-1</v>
      </c>
      <c r="H913" s="17">
        <v>201.99</v>
      </c>
      <c r="I913" s="17">
        <v>202.49</v>
      </c>
    </row>
    <row r="914" spans="1:9">
      <c r="A914" s="17">
        <v>501</v>
      </c>
      <c r="B914" s="17" t="s">
        <v>105</v>
      </c>
      <c r="C914" s="17" t="s">
        <v>92</v>
      </c>
      <c r="D914" s="17">
        <v>118</v>
      </c>
      <c r="E914" s="17" t="s">
        <v>95</v>
      </c>
      <c r="F914" s="17">
        <v>2</v>
      </c>
      <c r="G914" s="17" t="str">
        <f t="shared" si="13"/>
        <v>M0113-A-118-2</v>
      </c>
      <c r="H914" s="17">
        <v>202.49</v>
      </c>
      <c r="I914" s="17">
        <v>202.79</v>
      </c>
    </row>
    <row r="915" spans="1:9">
      <c r="A915" s="17">
        <v>501</v>
      </c>
      <c r="B915" s="17" t="s">
        <v>105</v>
      </c>
      <c r="C915" s="17" t="s">
        <v>92</v>
      </c>
      <c r="D915" s="17">
        <v>119</v>
      </c>
      <c r="E915" s="17" t="s">
        <v>95</v>
      </c>
      <c r="F915" s="17">
        <v>1</v>
      </c>
      <c r="G915" s="17" t="str">
        <f t="shared" si="13"/>
        <v>M0113-A-119-1</v>
      </c>
      <c r="H915" s="17">
        <v>203.49</v>
      </c>
      <c r="I915" s="17">
        <v>204.23</v>
      </c>
    </row>
    <row r="916" spans="1:9">
      <c r="A916" s="17">
        <v>501</v>
      </c>
      <c r="B916" s="17" t="s">
        <v>105</v>
      </c>
      <c r="C916" s="17" t="s">
        <v>92</v>
      </c>
      <c r="D916" s="17">
        <v>120</v>
      </c>
      <c r="E916" s="17" t="s">
        <v>95</v>
      </c>
      <c r="F916" s="17">
        <v>1</v>
      </c>
      <c r="G916" s="17" t="str">
        <f t="shared" si="13"/>
        <v>M0113-A-120-1</v>
      </c>
      <c r="H916" s="17">
        <v>204.99</v>
      </c>
      <c r="I916" s="17">
        <v>205.59</v>
      </c>
    </row>
    <row r="917" spans="1:9">
      <c r="A917" s="17">
        <v>501</v>
      </c>
      <c r="B917" s="17" t="s">
        <v>105</v>
      </c>
      <c r="C917" s="17" t="s">
        <v>92</v>
      </c>
      <c r="D917" s="17">
        <v>121</v>
      </c>
      <c r="E917" s="17" t="s">
        <v>95</v>
      </c>
      <c r="F917" s="17">
        <v>1</v>
      </c>
      <c r="G917" s="17" t="str">
        <f t="shared" si="13"/>
        <v>M0113-A-121-1</v>
      </c>
      <c r="H917" s="17">
        <v>206.49</v>
      </c>
      <c r="I917" s="17">
        <v>207.98</v>
      </c>
    </row>
    <row r="918" spans="1:9">
      <c r="A918" s="17">
        <v>501</v>
      </c>
      <c r="B918" s="17" t="s">
        <v>105</v>
      </c>
      <c r="C918" s="17" t="s">
        <v>92</v>
      </c>
      <c r="D918" s="17">
        <v>122</v>
      </c>
      <c r="E918" s="17" t="s">
        <v>95</v>
      </c>
      <c r="F918" s="17">
        <v>1</v>
      </c>
      <c r="G918" s="17" t="str">
        <f t="shared" si="13"/>
        <v>M0113-A-122-1</v>
      </c>
      <c r="H918" s="17">
        <v>207.99</v>
      </c>
      <c r="I918" s="17">
        <v>208.31</v>
      </c>
    </row>
    <row r="919" spans="1:9">
      <c r="A919" s="17">
        <v>501</v>
      </c>
      <c r="B919" s="17" t="s">
        <v>105</v>
      </c>
      <c r="C919" s="17" t="s">
        <v>92</v>
      </c>
      <c r="D919" s="17">
        <v>123</v>
      </c>
      <c r="E919" s="17" t="s">
        <v>95</v>
      </c>
      <c r="F919" s="17">
        <v>1</v>
      </c>
      <c r="G919" s="17" t="str">
        <f t="shared" si="13"/>
        <v>M0113-A-123-1</v>
      </c>
      <c r="H919" s="17">
        <v>209.49</v>
      </c>
      <c r="I919" s="17">
        <v>209.74</v>
      </c>
    </row>
    <row r="920" spans="1:9">
      <c r="A920" s="17">
        <v>501</v>
      </c>
      <c r="B920" s="17" t="s">
        <v>105</v>
      </c>
      <c r="C920" s="17" t="s">
        <v>92</v>
      </c>
      <c r="D920" s="17">
        <v>124</v>
      </c>
      <c r="E920" s="17" t="s">
        <v>95</v>
      </c>
      <c r="F920" s="17">
        <v>1</v>
      </c>
      <c r="G920" s="17" t="str">
        <f t="shared" si="13"/>
        <v>M0113-A-124-1</v>
      </c>
      <c r="H920" s="17">
        <v>210.99</v>
      </c>
      <c r="I920" s="17">
        <v>211.99</v>
      </c>
    </row>
    <row r="921" spans="1:9">
      <c r="A921" s="17">
        <v>501</v>
      </c>
      <c r="B921" s="17" t="s">
        <v>105</v>
      </c>
      <c r="C921" s="17" t="s">
        <v>92</v>
      </c>
      <c r="D921" s="17">
        <v>124</v>
      </c>
      <c r="E921" s="17" t="s">
        <v>95</v>
      </c>
      <c r="F921" s="17">
        <v>2</v>
      </c>
      <c r="G921" s="17" t="str">
        <f t="shared" si="13"/>
        <v>M0113-A-124-2</v>
      </c>
      <c r="H921" s="17">
        <v>211.99</v>
      </c>
      <c r="I921" s="17">
        <v>212.52</v>
      </c>
    </row>
    <row r="922" spans="1:9">
      <c r="A922" s="17">
        <v>501</v>
      </c>
      <c r="B922" s="17" t="s">
        <v>105</v>
      </c>
      <c r="C922" s="17" t="s">
        <v>92</v>
      </c>
      <c r="D922" s="17">
        <v>125</v>
      </c>
      <c r="E922" s="17" t="s">
        <v>95</v>
      </c>
      <c r="F922" s="17">
        <v>1</v>
      </c>
      <c r="G922" s="17" t="str">
        <f t="shared" si="13"/>
        <v>M0113-A-125-1</v>
      </c>
      <c r="H922" s="17">
        <v>212.49</v>
      </c>
      <c r="I922" s="17">
        <v>212.71</v>
      </c>
    </row>
    <row r="923" spans="1:9">
      <c r="A923" s="17">
        <v>501</v>
      </c>
      <c r="B923" s="17" t="s">
        <v>105</v>
      </c>
      <c r="C923" s="17" t="s">
        <v>92</v>
      </c>
      <c r="D923" s="17">
        <v>126</v>
      </c>
      <c r="E923" s="17" t="s">
        <v>95</v>
      </c>
      <c r="F923" s="17">
        <v>1</v>
      </c>
      <c r="G923" s="17" t="str">
        <f t="shared" si="13"/>
        <v>M0113-A-126-1</v>
      </c>
      <c r="H923" s="17">
        <v>215.49</v>
      </c>
      <c r="I923" s="17">
        <v>216.34</v>
      </c>
    </row>
    <row r="924" spans="1:9">
      <c r="A924" s="17">
        <v>501</v>
      </c>
      <c r="B924" s="17" t="s">
        <v>105</v>
      </c>
      <c r="C924" s="17" t="s">
        <v>92</v>
      </c>
      <c r="D924" s="17">
        <v>127</v>
      </c>
      <c r="E924" s="17" t="s">
        <v>95</v>
      </c>
      <c r="F924" s="17">
        <v>1</v>
      </c>
      <c r="G924" s="17" t="str">
        <f t="shared" si="13"/>
        <v>M0113-A-127-1</v>
      </c>
      <c r="H924" s="17">
        <v>216.99</v>
      </c>
      <c r="I924" s="17">
        <v>217.25</v>
      </c>
    </row>
    <row r="925" spans="1:9">
      <c r="A925" s="17">
        <v>501</v>
      </c>
      <c r="B925" s="17" t="s">
        <v>105</v>
      </c>
      <c r="C925" s="17" t="s">
        <v>92</v>
      </c>
      <c r="D925" s="17">
        <v>128</v>
      </c>
      <c r="E925" s="17" t="s">
        <v>95</v>
      </c>
      <c r="F925" s="17">
        <v>1</v>
      </c>
      <c r="G925" s="17" t="str">
        <f t="shared" si="13"/>
        <v>M0113-A-128-1</v>
      </c>
      <c r="H925" s="17">
        <v>217.47</v>
      </c>
      <c r="I925" s="17">
        <v>217.77</v>
      </c>
    </row>
    <row r="926" spans="1:9">
      <c r="A926" s="17">
        <v>501</v>
      </c>
      <c r="B926" s="17" t="s">
        <v>105</v>
      </c>
      <c r="C926" s="17" t="s">
        <v>92</v>
      </c>
      <c r="D926" s="17">
        <v>128</v>
      </c>
      <c r="E926" s="17" t="s">
        <v>95</v>
      </c>
      <c r="F926" s="17">
        <v>2</v>
      </c>
      <c r="G926" s="17" t="str">
        <f t="shared" si="13"/>
        <v>M0113-A-128-2</v>
      </c>
      <c r="H926" s="17">
        <v>217.77</v>
      </c>
      <c r="I926" s="17">
        <v>218.17</v>
      </c>
    </row>
    <row r="927" spans="1:9">
      <c r="A927" s="17">
        <v>501</v>
      </c>
      <c r="B927" s="17" t="s">
        <v>105</v>
      </c>
      <c r="C927" s="17" t="s">
        <v>92</v>
      </c>
      <c r="D927" s="17">
        <v>129</v>
      </c>
      <c r="E927" s="17" t="s">
        <v>95</v>
      </c>
      <c r="F927" s="17">
        <v>1</v>
      </c>
      <c r="G927" s="17" t="str">
        <f t="shared" si="13"/>
        <v>M0113-A-129-1</v>
      </c>
      <c r="H927" s="17">
        <v>218.34</v>
      </c>
      <c r="I927" s="17">
        <v>218.88</v>
      </c>
    </row>
    <row r="928" spans="1:9">
      <c r="A928" s="17">
        <v>501</v>
      </c>
      <c r="B928" s="17" t="s">
        <v>105</v>
      </c>
      <c r="C928" s="17" t="s">
        <v>92</v>
      </c>
      <c r="D928" s="17">
        <v>130</v>
      </c>
      <c r="E928" s="17" t="s">
        <v>95</v>
      </c>
      <c r="F928" s="17">
        <v>1</v>
      </c>
      <c r="G928" s="17" t="str">
        <f t="shared" si="13"/>
        <v>M0113-A-130-1</v>
      </c>
      <c r="H928" s="17">
        <v>218.74</v>
      </c>
      <c r="I928" s="17">
        <v>219</v>
      </c>
    </row>
    <row r="929" spans="1:9">
      <c r="A929" s="17">
        <v>501</v>
      </c>
      <c r="B929" s="17" t="s">
        <v>105</v>
      </c>
      <c r="C929" s="17" t="s">
        <v>92</v>
      </c>
      <c r="D929" s="17">
        <v>131</v>
      </c>
      <c r="E929" s="17" t="s">
        <v>95</v>
      </c>
      <c r="F929" s="17">
        <v>1</v>
      </c>
      <c r="G929" s="17" t="str">
        <f t="shared" si="13"/>
        <v>M0113-A-131-1</v>
      </c>
      <c r="H929" s="17">
        <v>218.94</v>
      </c>
      <c r="I929" s="17">
        <v>219.24</v>
      </c>
    </row>
    <row r="930" spans="1:9">
      <c r="A930" s="17">
        <v>501</v>
      </c>
      <c r="B930" s="17" t="s">
        <v>105</v>
      </c>
      <c r="C930" s="17" t="s">
        <v>92</v>
      </c>
      <c r="D930" s="17">
        <v>132</v>
      </c>
      <c r="E930" s="17" t="s">
        <v>95</v>
      </c>
      <c r="F930" s="17">
        <v>1</v>
      </c>
      <c r="G930" s="17" t="str">
        <f t="shared" si="13"/>
        <v>M0113-A-132-1</v>
      </c>
      <c r="H930" s="17">
        <v>219.44</v>
      </c>
      <c r="I930" s="17">
        <v>220.95</v>
      </c>
    </row>
    <row r="931" spans="1:9">
      <c r="A931" s="17">
        <v>501</v>
      </c>
      <c r="B931" s="17" t="s">
        <v>105</v>
      </c>
      <c r="C931" s="17" t="s">
        <v>92</v>
      </c>
      <c r="D931" s="17">
        <v>132</v>
      </c>
      <c r="E931" s="17" t="s">
        <v>95</v>
      </c>
      <c r="F931" s="17">
        <v>2</v>
      </c>
      <c r="G931" s="17" t="str">
        <f t="shared" si="13"/>
        <v>M0113-A-132-2</v>
      </c>
      <c r="H931" s="17">
        <v>220.95</v>
      </c>
      <c r="I931" s="17">
        <v>221.55</v>
      </c>
    </row>
    <row r="932" spans="1:9">
      <c r="A932" s="17">
        <v>501</v>
      </c>
      <c r="B932" s="17" t="s">
        <v>105</v>
      </c>
      <c r="C932" s="17" t="s">
        <v>92</v>
      </c>
      <c r="D932" s="17">
        <v>133</v>
      </c>
      <c r="E932" s="17" t="s">
        <v>95</v>
      </c>
      <c r="F932" s="17">
        <v>1</v>
      </c>
      <c r="G932" s="17" t="str">
        <f t="shared" si="13"/>
        <v>M0113-A-133-1</v>
      </c>
      <c r="H932" s="17">
        <v>221.49</v>
      </c>
      <c r="I932" s="17">
        <v>222.74</v>
      </c>
    </row>
    <row r="933" spans="1:9">
      <c r="A933" s="17">
        <v>501</v>
      </c>
      <c r="B933" s="17" t="s">
        <v>105</v>
      </c>
      <c r="C933" s="17" t="s">
        <v>92</v>
      </c>
      <c r="D933" s="17">
        <v>134</v>
      </c>
      <c r="E933" s="17" t="s">
        <v>95</v>
      </c>
      <c r="F933" s="17">
        <v>1</v>
      </c>
      <c r="G933" s="17" t="str">
        <f t="shared" si="13"/>
        <v>M0113-A-134-1</v>
      </c>
      <c r="H933" s="17">
        <v>222.94</v>
      </c>
      <c r="I933" s="17">
        <v>223.41</v>
      </c>
    </row>
    <row r="934" spans="1:9">
      <c r="A934" s="17">
        <v>501</v>
      </c>
      <c r="B934" s="17" t="s">
        <v>105</v>
      </c>
      <c r="C934" s="17" t="s">
        <v>92</v>
      </c>
      <c r="D934" s="17">
        <v>135</v>
      </c>
      <c r="E934" s="17" t="s">
        <v>95</v>
      </c>
      <c r="F934" s="17">
        <v>1</v>
      </c>
      <c r="G934" s="17" t="str">
        <f t="shared" si="13"/>
        <v>M0113-A-135-1</v>
      </c>
      <c r="H934" s="17">
        <v>224.49</v>
      </c>
      <c r="I934" s="17">
        <v>225.99</v>
      </c>
    </row>
    <row r="935" spans="1:9">
      <c r="A935" s="17">
        <v>501</v>
      </c>
      <c r="B935" s="17" t="s">
        <v>105</v>
      </c>
      <c r="C935" s="17" t="s">
        <v>92</v>
      </c>
      <c r="D935" s="17">
        <v>135</v>
      </c>
      <c r="E935" s="17" t="s">
        <v>95</v>
      </c>
      <c r="F935" s="17">
        <v>2</v>
      </c>
      <c r="G935" s="17" t="str">
        <f t="shared" si="13"/>
        <v>M0113-A-135-2</v>
      </c>
      <c r="H935" s="17">
        <v>225.99</v>
      </c>
      <c r="I935" s="17">
        <v>227.11</v>
      </c>
    </row>
    <row r="936" spans="1:9">
      <c r="A936" s="17">
        <v>501</v>
      </c>
      <c r="B936" s="17" t="s">
        <v>105</v>
      </c>
      <c r="C936" s="17" t="s">
        <v>92</v>
      </c>
      <c r="D936" s="17">
        <v>136</v>
      </c>
      <c r="E936" s="17" t="s">
        <v>95</v>
      </c>
      <c r="F936" s="17">
        <v>1</v>
      </c>
      <c r="G936" s="17" t="str">
        <f t="shared" si="13"/>
        <v>M0113-A-136-1</v>
      </c>
      <c r="H936" s="17">
        <v>227.49</v>
      </c>
      <c r="I936" s="17">
        <v>228.59</v>
      </c>
    </row>
    <row r="937" spans="1:9">
      <c r="A937" s="17">
        <v>501</v>
      </c>
      <c r="B937" s="17" t="s">
        <v>105</v>
      </c>
      <c r="C937" s="17" t="s">
        <v>92</v>
      </c>
      <c r="D937" s="17">
        <v>136</v>
      </c>
      <c r="E937" s="17" t="s">
        <v>95</v>
      </c>
      <c r="F937" s="17">
        <v>2</v>
      </c>
      <c r="G937" s="17" t="str">
        <f t="shared" si="13"/>
        <v>M0113-A-136-2</v>
      </c>
      <c r="H937" s="17">
        <v>228.59</v>
      </c>
      <c r="I937" s="17">
        <v>229.23</v>
      </c>
    </row>
    <row r="938" spans="1:9">
      <c r="A938" s="17">
        <v>501</v>
      </c>
      <c r="B938" s="17" t="s">
        <v>105</v>
      </c>
      <c r="C938" s="17" t="s">
        <v>92</v>
      </c>
      <c r="D938" s="17">
        <v>136</v>
      </c>
      <c r="E938" s="17" t="s">
        <v>95</v>
      </c>
      <c r="F938" s="17">
        <v>3</v>
      </c>
      <c r="G938" s="17" t="str">
        <f t="shared" si="13"/>
        <v>M0113-A-136-3</v>
      </c>
      <c r="H938" s="17">
        <v>229.23</v>
      </c>
      <c r="I938" s="17">
        <v>229.35</v>
      </c>
    </row>
    <row r="939" spans="1:9">
      <c r="A939" s="17">
        <v>501</v>
      </c>
      <c r="B939" s="17" t="s">
        <v>105</v>
      </c>
      <c r="C939" s="17" t="s">
        <v>92</v>
      </c>
      <c r="D939" s="17">
        <v>137</v>
      </c>
      <c r="E939" s="17" t="s">
        <v>95</v>
      </c>
      <c r="F939" s="17">
        <v>1</v>
      </c>
      <c r="G939" s="17" t="str">
        <f t="shared" si="13"/>
        <v>M0113-A-137-1</v>
      </c>
      <c r="H939" s="17">
        <v>230.49</v>
      </c>
      <c r="I939" s="17">
        <v>230.58</v>
      </c>
    </row>
    <row r="940" spans="1:9">
      <c r="A940" s="17">
        <v>501</v>
      </c>
      <c r="B940" s="17" t="s">
        <v>105</v>
      </c>
      <c r="C940" s="17" t="s">
        <v>92</v>
      </c>
      <c r="D940" s="17">
        <v>138</v>
      </c>
      <c r="E940" s="17" t="s">
        <v>93</v>
      </c>
      <c r="F940" s="17">
        <v>1</v>
      </c>
      <c r="G940" s="17" t="str">
        <f t="shared" si="13"/>
        <v>M0113-A-138-1</v>
      </c>
      <c r="H940" s="17">
        <v>231.59</v>
      </c>
      <c r="I940" s="17">
        <v>232.03</v>
      </c>
    </row>
    <row r="941" spans="1:9">
      <c r="A941" s="17">
        <v>501</v>
      </c>
      <c r="B941" s="17" t="s">
        <v>105</v>
      </c>
      <c r="C941" s="17" t="s">
        <v>92</v>
      </c>
      <c r="D941" s="17">
        <v>138</v>
      </c>
      <c r="E941" s="17" t="s">
        <v>93</v>
      </c>
      <c r="F941" s="17">
        <v>2</v>
      </c>
      <c r="G941" s="17" t="str">
        <f t="shared" si="13"/>
        <v>M0113-A-138-2</v>
      </c>
      <c r="H941" s="17">
        <v>232.03</v>
      </c>
      <c r="I941" s="17">
        <v>232.17</v>
      </c>
    </row>
    <row r="942" spans="1:9">
      <c r="A942" s="17">
        <v>501</v>
      </c>
      <c r="B942" s="17" t="s">
        <v>105</v>
      </c>
      <c r="C942" s="17" t="s">
        <v>92</v>
      </c>
      <c r="D942" s="17">
        <v>139</v>
      </c>
      <c r="E942" s="17" t="s">
        <v>93</v>
      </c>
      <c r="F942" s="17">
        <v>1</v>
      </c>
      <c r="G942" s="17" t="str">
        <f t="shared" si="13"/>
        <v>M0113-A-139-1</v>
      </c>
      <c r="H942" s="17">
        <v>232.17</v>
      </c>
      <c r="I942" s="17">
        <v>232.86</v>
      </c>
    </row>
    <row r="943" spans="1:9">
      <c r="A943" s="17">
        <v>501</v>
      </c>
      <c r="B943" s="17" t="s">
        <v>105</v>
      </c>
      <c r="C943" s="17" t="s">
        <v>92</v>
      </c>
      <c r="D943" s="17">
        <v>140</v>
      </c>
      <c r="E943" s="17" t="s">
        <v>95</v>
      </c>
      <c r="F943" s="17">
        <v>1</v>
      </c>
      <c r="G943" s="17" t="str">
        <f t="shared" si="13"/>
        <v>M0113-A-140-1</v>
      </c>
      <c r="H943" s="17">
        <v>232.86</v>
      </c>
      <c r="I943" s="17">
        <v>233.88</v>
      </c>
    </row>
    <row r="944" spans="1:9">
      <c r="A944" s="17">
        <v>501</v>
      </c>
      <c r="B944" s="17" t="s">
        <v>105</v>
      </c>
      <c r="C944" s="17" t="s">
        <v>92</v>
      </c>
      <c r="D944" s="17">
        <v>141</v>
      </c>
      <c r="E944" s="17" t="s">
        <v>95</v>
      </c>
      <c r="F944" s="17">
        <v>1</v>
      </c>
      <c r="G944" s="17" t="str">
        <f t="shared" si="13"/>
        <v>M0113-A-141-1</v>
      </c>
      <c r="H944" s="17">
        <v>233.49</v>
      </c>
      <c r="I944" s="17">
        <v>233.84</v>
      </c>
    </row>
    <row r="945" spans="1:9">
      <c r="A945" s="17">
        <v>501</v>
      </c>
      <c r="B945" s="17" t="s">
        <v>105</v>
      </c>
      <c r="C945" s="17" t="s">
        <v>92</v>
      </c>
      <c r="D945" s="17">
        <v>142</v>
      </c>
      <c r="E945" s="17" t="s">
        <v>95</v>
      </c>
      <c r="F945" s="17">
        <v>1</v>
      </c>
      <c r="G945" s="17" t="str">
        <f t="shared" si="13"/>
        <v>M0113-A-142-1</v>
      </c>
      <c r="H945" s="17">
        <v>234.99</v>
      </c>
      <c r="I945" s="17">
        <v>236.49</v>
      </c>
    </row>
    <row r="946" spans="1:9">
      <c r="A946" s="17">
        <v>501</v>
      </c>
      <c r="B946" s="17" t="s">
        <v>105</v>
      </c>
      <c r="C946" s="17" t="s">
        <v>92</v>
      </c>
      <c r="D946" s="17">
        <v>142</v>
      </c>
      <c r="E946" s="17" t="s">
        <v>95</v>
      </c>
      <c r="F946" s="17">
        <v>2</v>
      </c>
      <c r="G946" s="17" t="str">
        <f t="shared" si="13"/>
        <v>M0113-A-142-2</v>
      </c>
      <c r="H946" s="17">
        <v>236.49</v>
      </c>
      <c r="I946" s="17">
        <v>237.87</v>
      </c>
    </row>
    <row r="947" spans="1:9">
      <c r="A947" s="17">
        <v>501</v>
      </c>
      <c r="B947" s="17" t="s">
        <v>105</v>
      </c>
      <c r="C947" s="17" t="s">
        <v>92</v>
      </c>
      <c r="D947" s="17">
        <v>143</v>
      </c>
      <c r="E947" s="17" t="s">
        <v>95</v>
      </c>
      <c r="F947" s="17">
        <v>1</v>
      </c>
      <c r="G947" s="17" t="str">
        <f t="shared" si="13"/>
        <v>M0113-A-143-1</v>
      </c>
      <c r="H947" s="17">
        <v>236.49</v>
      </c>
      <c r="I947" s="17">
        <v>236.61</v>
      </c>
    </row>
    <row r="948" spans="1:9">
      <c r="A948" s="17">
        <v>501</v>
      </c>
      <c r="B948" s="17" t="s">
        <v>105</v>
      </c>
      <c r="C948" s="17" t="s">
        <v>92</v>
      </c>
      <c r="D948" s="17">
        <v>144</v>
      </c>
      <c r="E948" s="17" t="s">
        <v>95</v>
      </c>
      <c r="F948" s="17">
        <v>1</v>
      </c>
      <c r="G948" s="17" t="str">
        <f t="shared" si="13"/>
        <v>M0113-A-144-1</v>
      </c>
      <c r="H948" s="17">
        <v>236.49</v>
      </c>
      <c r="I948" s="17">
        <v>237.4</v>
      </c>
    </row>
    <row r="949" spans="1:9">
      <c r="A949" s="17">
        <v>501</v>
      </c>
      <c r="B949" s="17" t="s">
        <v>105</v>
      </c>
      <c r="C949" s="17" t="s">
        <v>92</v>
      </c>
      <c r="D949" s="17">
        <v>144</v>
      </c>
      <c r="E949" s="17" t="s">
        <v>95</v>
      </c>
      <c r="F949" s="17">
        <v>2</v>
      </c>
      <c r="G949" s="17" t="str">
        <f t="shared" si="13"/>
        <v>M0113-A-144-2</v>
      </c>
      <c r="H949" s="17">
        <v>237.4</v>
      </c>
      <c r="I949" s="17">
        <v>237.98</v>
      </c>
    </row>
    <row r="950" spans="1:9">
      <c r="A950" s="17">
        <v>501</v>
      </c>
      <c r="B950" s="17" t="s">
        <v>105</v>
      </c>
      <c r="C950" s="17" t="s">
        <v>92</v>
      </c>
      <c r="D950" s="17">
        <v>145</v>
      </c>
      <c r="E950" s="17" t="s">
        <v>95</v>
      </c>
      <c r="F950" s="17">
        <v>1</v>
      </c>
      <c r="G950" s="17" t="str">
        <f t="shared" si="13"/>
        <v>M0113-A-145-1</v>
      </c>
      <c r="H950" s="17">
        <v>237.99</v>
      </c>
      <c r="I950" s="17">
        <v>239.5</v>
      </c>
    </row>
    <row r="951" spans="1:9">
      <c r="A951" s="17">
        <v>501</v>
      </c>
      <c r="B951" s="17" t="s">
        <v>105</v>
      </c>
      <c r="C951" s="17" t="s">
        <v>92</v>
      </c>
      <c r="D951" s="17">
        <v>145</v>
      </c>
      <c r="E951" s="17" t="s">
        <v>95</v>
      </c>
      <c r="F951" s="17">
        <v>2</v>
      </c>
      <c r="G951" s="17" t="str">
        <f t="shared" si="13"/>
        <v>M0113-A-145-2</v>
      </c>
      <c r="H951" s="17">
        <v>239.5</v>
      </c>
      <c r="I951" s="17">
        <v>239.63</v>
      </c>
    </row>
    <row r="952" spans="1:9">
      <c r="A952" s="17">
        <v>501</v>
      </c>
      <c r="B952" s="17" t="s">
        <v>105</v>
      </c>
      <c r="C952" s="17" t="s">
        <v>92</v>
      </c>
      <c r="D952" s="17">
        <v>146</v>
      </c>
      <c r="E952" s="17" t="s">
        <v>95</v>
      </c>
      <c r="F952" s="17">
        <v>1</v>
      </c>
      <c r="G952" s="17" t="str">
        <f t="shared" ref="G952:G1015" si="14">CONCATENATE(B952, "-",C952, "-", D952, "-", F952)</f>
        <v>M0113-A-146-1</v>
      </c>
      <c r="H952" s="17">
        <v>239.49</v>
      </c>
      <c r="I952" s="17">
        <v>240.37</v>
      </c>
    </row>
    <row r="953" spans="1:9">
      <c r="A953" s="17">
        <v>501</v>
      </c>
      <c r="B953" s="17" t="s">
        <v>105</v>
      </c>
      <c r="C953" s="17" t="s">
        <v>92</v>
      </c>
      <c r="D953" s="17">
        <v>148</v>
      </c>
      <c r="E953" s="17" t="s">
        <v>95</v>
      </c>
      <c r="F953" s="17">
        <v>1</v>
      </c>
      <c r="G953" s="17" t="str">
        <f t="shared" si="14"/>
        <v>M0113-A-148-1</v>
      </c>
      <c r="H953" s="17">
        <v>242.49</v>
      </c>
      <c r="I953" s="17">
        <v>243.49</v>
      </c>
    </row>
    <row r="954" spans="1:9">
      <c r="A954" s="17">
        <v>501</v>
      </c>
      <c r="B954" s="17" t="s">
        <v>105</v>
      </c>
      <c r="C954" s="17" t="s">
        <v>92</v>
      </c>
      <c r="D954" s="17">
        <v>148</v>
      </c>
      <c r="E954" s="17" t="s">
        <v>95</v>
      </c>
      <c r="F954" s="17">
        <v>2</v>
      </c>
      <c r="G954" s="17" t="str">
        <f t="shared" si="14"/>
        <v>M0113-A-148-2</v>
      </c>
      <c r="H954" s="17">
        <v>243.49</v>
      </c>
      <c r="I954" s="17">
        <v>244.32</v>
      </c>
    </row>
    <row r="955" spans="1:9">
      <c r="A955" s="17">
        <v>501</v>
      </c>
      <c r="B955" s="17" t="s">
        <v>105</v>
      </c>
      <c r="C955" s="17" t="s">
        <v>92</v>
      </c>
      <c r="D955" s="17">
        <v>148</v>
      </c>
      <c r="E955" s="17" t="s">
        <v>95</v>
      </c>
      <c r="F955" s="17">
        <v>3</v>
      </c>
      <c r="G955" s="17" t="str">
        <f t="shared" si="14"/>
        <v>M0113-A-148-3</v>
      </c>
      <c r="H955" s="17">
        <v>244.32</v>
      </c>
      <c r="I955" s="17">
        <v>244.46</v>
      </c>
    </row>
    <row r="956" spans="1:9">
      <c r="A956" s="17">
        <v>501</v>
      </c>
      <c r="B956" s="17" t="s">
        <v>105</v>
      </c>
      <c r="C956" s="17" t="s">
        <v>92</v>
      </c>
      <c r="D956" s="17">
        <v>149</v>
      </c>
      <c r="E956" s="17" t="s">
        <v>95</v>
      </c>
      <c r="F956" s="17">
        <v>1</v>
      </c>
      <c r="G956" s="17" t="str">
        <f t="shared" si="14"/>
        <v>M0113-A-149-1</v>
      </c>
      <c r="H956" s="17">
        <v>243.99</v>
      </c>
      <c r="I956" s="17">
        <v>245.49</v>
      </c>
    </row>
    <row r="957" spans="1:9">
      <c r="A957" s="17">
        <v>501</v>
      </c>
      <c r="B957" s="17" t="s">
        <v>105</v>
      </c>
      <c r="C957" s="17" t="s">
        <v>92</v>
      </c>
      <c r="D957" s="17">
        <v>150</v>
      </c>
      <c r="E957" s="17" t="s">
        <v>95</v>
      </c>
      <c r="F957" s="17">
        <v>1</v>
      </c>
      <c r="G957" s="17" t="str">
        <f t="shared" si="14"/>
        <v>M0113-A-150-1</v>
      </c>
      <c r="H957" s="17">
        <v>245.49</v>
      </c>
      <c r="I957" s="17">
        <v>246.29</v>
      </c>
    </row>
    <row r="958" spans="1:9">
      <c r="A958" s="17">
        <v>501</v>
      </c>
      <c r="B958" s="17" t="s">
        <v>105</v>
      </c>
      <c r="C958" s="17" t="s">
        <v>92</v>
      </c>
      <c r="D958" s="17">
        <v>151</v>
      </c>
      <c r="E958" s="17" t="s">
        <v>95</v>
      </c>
      <c r="F958" s="17">
        <v>1</v>
      </c>
      <c r="G958" s="17" t="str">
        <f t="shared" si="14"/>
        <v>M0113-A-151-1</v>
      </c>
      <c r="H958" s="17">
        <v>246.99</v>
      </c>
      <c r="I958" s="17">
        <v>247.99</v>
      </c>
    </row>
    <row r="959" spans="1:9">
      <c r="A959" s="17">
        <v>501</v>
      </c>
      <c r="B959" s="17" t="s">
        <v>105</v>
      </c>
      <c r="C959" s="17" t="s">
        <v>92</v>
      </c>
      <c r="D959" s="17">
        <v>151</v>
      </c>
      <c r="E959" s="17" t="s">
        <v>95</v>
      </c>
      <c r="F959" s="17">
        <v>2</v>
      </c>
      <c r="G959" s="17" t="str">
        <f t="shared" si="14"/>
        <v>M0113-A-151-2</v>
      </c>
      <c r="H959" s="17">
        <v>247.99</v>
      </c>
      <c r="I959" s="17">
        <v>248.51</v>
      </c>
    </row>
    <row r="960" spans="1:9">
      <c r="A960" s="17">
        <v>501</v>
      </c>
      <c r="B960" s="17" t="s">
        <v>105</v>
      </c>
      <c r="C960" s="17" t="s">
        <v>92</v>
      </c>
      <c r="D960" s="17">
        <v>152</v>
      </c>
      <c r="E960" s="17" t="s">
        <v>95</v>
      </c>
      <c r="F960" s="17">
        <v>1</v>
      </c>
      <c r="G960" s="17" t="str">
        <f t="shared" si="14"/>
        <v>M0113-A-152-1</v>
      </c>
      <c r="H960" s="17">
        <v>248.49</v>
      </c>
      <c r="I960" s="17">
        <v>249.87</v>
      </c>
    </row>
    <row r="961" spans="1:9">
      <c r="A961" s="17">
        <v>501</v>
      </c>
      <c r="B961" s="17" t="s">
        <v>105</v>
      </c>
      <c r="C961" s="17" t="s">
        <v>92</v>
      </c>
      <c r="D961" s="17">
        <v>153</v>
      </c>
      <c r="E961" s="17" t="s">
        <v>95</v>
      </c>
      <c r="F961" s="17">
        <v>1</v>
      </c>
      <c r="G961" s="17" t="str">
        <f t="shared" si="14"/>
        <v>M0113-A-153-1</v>
      </c>
      <c r="H961" s="17">
        <v>249.99</v>
      </c>
      <c r="I961" s="17">
        <v>250.18</v>
      </c>
    </row>
    <row r="962" spans="1:9">
      <c r="A962" s="17">
        <v>501</v>
      </c>
      <c r="B962" s="17" t="s">
        <v>105</v>
      </c>
      <c r="C962" s="17" t="s">
        <v>92</v>
      </c>
      <c r="D962" s="17">
        <v>154</v>
      </c>
      <c r="E962" s="17" t="s">
        <v>95</v>
      </c>
      <c r="F962" s="17">
        <v>1</v>
      </c>
      <c r="G962" s="17" t="str">
        <f t="shared" si="14"/>
        <v>M0113-A-154-1</v>
      </c>
      <c r="H962" s="17">
        <v>250.84</v>
      </c>
      <c r="I962" s="17">
        <v>251.06</v>
      </c>
    </row>
    <row r="963" spans="1:9">
      <c r="A963" s="17">
        <v>501</v>
      </c>
      <c r="B963" s="17" t="s">
        <v>105</v>
      </c>
      <c r="C963" s="17" t="s">
        <v>92</v>
      </c>
      <c r="D963" s="17">
        <v>156</v>
      </c>
      <c r="E963" s="17" t="s">
        <v>93</v>
      </c>
      <c r="F963" s="17">
        <v>1</v>
      </c>
      <c r="G963" s="17" t="str">
        <f t="shared" si="14"/>
        <v>M0113-A-156-1</v>
      </c>
      <c r="H963" s="17">
        <v>252.99</v>
      </c>
      <c r="I963" s="17">
        <v>254.15</v>
      </c>
    </row>
    <row r="964" spans="1:9">
      <c r="A964" s="17">
        <v>501</v>
      </c>
      <c r="B964" s="17" t="s">
        <v>105</v>
      </c>
      <c r="C964" s="17" t="s">
        <v>92</v>
      </c>
      <c r="D964" s="17">
        <v>157</v>
      </c>
      <c r="E964" s="17" t="s">
        <v>93</v>
      </c>
      <c r="F964" s="17">
        <v>1</v>
      </c>
      <c r="G964" s="17" t="str">
        <f t="shared" si="14"/>
        <v>M0113-A-157-1</v>
      </c>
      <c r="H964" s="17">
        <v>254.15</v>
      </c>
      <c r="I964" s="17">
        <v>255.65</v>
      </c>
    </row>
    <row r="965" spans="1:9">
      <c r="A965" s="17">
        <v>501</v>
      </c>
      <c r="B965" s="17" t="s">
        <v>105</v>
      </c>
      <c r="C965" s="17" t="s">
        <v>92</v>
      </c>
      <c r="D965" s="17">
        <v>157</v>
      </c>
      <c r="E965" s="17" t="s">
        <v>93</v>
      </c>
      <c r="F965" s="17">
        <v>2</v>
      </c>
      <c r="G965" s="17" t="str">
        <f t="shared" si="14"/>
        <v>M0113-A-157-2</v>
      </c>
      <c r="H965" s="17">
        <v>255.65</v>
      </c>
      <c r="I965" s="17">
        <v>256.56</v>
      </c>
    </row>
    <row r="966" spans="1:9">
      <c r="A966" s="17">
        <v>501</v>
      </c>
      <c r="B966" s="17" t="s">
        <v>105</v>
      </c>
      <c r="C966" s="17" t="s">
        <v>92</v>
      </c>
      <c r="D966" s="17">
        <v>158</v>
      </c>
      <c r="E966" s="17" t="s">
        <v>103</v>
      </c>
      <c r="F966" s="17">
        <v>1</v>
      </c>
      <c r="G966" s="17" t="str">
        <f t="shared" si="14"/>
        <v>M0113-A-158-1</v>
      </c>
      <c r="H966" s="17">
        <v>234.56</v>
      </c>
      <c r="I966" s="17">
        <v>256.56</v>
      </c>
    </row>
    <row r="967" spans="1:9">
      <c r="A967" s="17">
        <v>501</v>
      </c>
      <c r="B967" s="17" t="s">
        <v>105</v>
      </c>
      <c r="C967" s="17" t="s">
        <v>92</v>
      </c>
      <c r="D967" s="17">
        <v>159</v>
      </c>
      <c r="E967" s="17" t="s">
        <v>93</v>
      </c>
      <c r="F967" s="17">
        <v>1</v>
      </c>
      <c r="G967" s="17" t="str">
        <f t="shared" si="14"/>
        <v>M0113-A-159-1</v>
      </c>
      <c r="H967" s="17">
        <v>256.56</v>
      </c>
      <c r="I967" s="17">
        <v>257.52</v>
      </c>
    </row>
    <row r="968" spans="1:9">
      <c r="A968" s="17">
        <v>501</v>
      </c>
      <c r="B968" s="17" t="s">
        <v>105</v>
      </c>
      <c r="C968" s="17" t="s">
        <v>92</v>
      </c>
      <c r="D968" s="17">
        <v>159</v>
      </c>
      <c r="E968" s="17" t="s">
        <v>93</v>
      </c>
      <c r="F968" s="17">
        <v>2</v>
      </c>
      <c r="G968" s="17" t="str">
        <f t="shared" si="14"/>
        <v>M0113-A-159-2</v>
      </c>
      <c r="H968" s="17">
        <v>257.52</v>
      </c>
      <c r="I968" s="17">
        <v>258.29000000000002</v>
      </c>
    </row>
    <row r="969" spans="1:9">
      <c r="A969" s="17">
        <v>501</v>
      </c>
      <c r="B969" s="17" t="s">
        <v>105</v>
      </c>
      <c r="C969" s="17" t="s">
        <v>92</v>
      </c>
      <c r="D969" s="17">
        <v>160</v>
      </c>
      <c r="E969" s="17" t="s">
        <v>93</v>
      </c>
      <c r="F969" s="17">
        <v>1</v>
      </c>
      <c r="G969" s="17" t="str">
        <f t="shared" si="14"/>
        <v>M0113-A-160-1</v>
      </c>
      <c r="H969" s="17">
        <v>258.29000000000002</v>
      </c>
      <c r="I969" s="17">
        <v>259.29000000000002</v>
      </c>
    </row>
    <row r="970" spans="1:9">
      <c r="A970" s="17">
        <v>501</v>
      </c>
      <c r="B970" s="17" t="s">
        <v>105</v>
      </c>
      <c r="C970" s="17" t="s">
        <v>92</v>
      </c>
      <c r="D970" s="17">
        <v>160</v>
      </c>
      <c r="E970" s="17" t="s">
        <v>93</v>
      </c>
      <c r="F970" s="17">
        <v>2</v>
      </c>
      <c r="G970" s="17" t="str">
        <f t="shared" si="14"/>
        <v>M0113-A-160-2</v>
      </c>
      <c r="H970" s="17">
        <v>259.29000000000002</v>
      </c>
      <c r="I970" s="17">
        <v>259.98</v>
      </c>
    </row>
    <row r="971" spans="1:9">
      <c r="A971" s="17">
        <v>501</v>
      </c>
      <c r="B971" s="17" t="s">
        <v>105</v>
      </c>
      <c r="C971" s="17" t="s">
        <v>92</v>
      </c>
      <c r="D971" s="17">
        <v>161</v>
      </c>
      <c r="E971" s="17" t="s">
        <v>93</v>
      </c>
      <c r="F971" s="17">
        <v>1</v>
      </c>
      <c r="G971" s="17" t="str">
        <f t="shared" si="14"/>
        <v>M0113-A-161-1</v>
      </c>
      <c r="H971" s="17">
        <v>259.98</v>
      </c>
      <c r="I971" s="17">
        <v>260.13</v>
      </c>
    </row>
    <row r="972" spans="1:9">
      <c r="A972" s="17">
        <v>501</v>
      </c>
      <c r="B972" s="17" t="s">
        <v>105</v>
      </c>
      <c r="C972" s="17" t="s">
        <v>92</v>
      </c>
      <c r="D972" s="17">
        <v>163</v>
      </c>
      <c r="E972" s="17" t="s">
        <v>93</v>
      </c>
      <c r="F972" s="17">
        <v>1</v>
      </c>
      <c r="G972" s="17" t="str">
        <f t="shared" si="14"/>
        <v>M0113-A-163-1</v>
      </c>
      <c r="H972" s="17">
        <v>261.63</v>
      </c>
      <c r="I972" s="17">
        <v>262.49</v>
      </c>
    </row>
    <row r="973" spans="1:9">
      <c r="A973" s="17">
        <v>501</v>
      </c>
      <c r="B973" s="17" t="s">
        <v>105</v>
      </c>
      <c r="C973" s="17" t="s">
        <v>92</v>
      </c>
      <c r="D973" s="17">
        <v>164</v>
      </c>
      <c r="E973" s="17" t="s">
        <v>93</v>
      </c>
      <c r="F973" s="17">
        <v>1</v>
      </c>
      <c r="G973" s="17" t="str">
        <f t="shared" si="14"/>
        <v>M0113-A-164-1</v>
      </c>
      <c r="H973" s="17">
        <v>262.49</v>
      </c>
      <c r="I973" s="17">
        <v>262.92</v>
      </c>
    </row>
    <row r="974" spans="1:9">
      <c r="A974" s="17">
        <v>501</v>
      </c>
      <c r="B974" s="17" t="s">
        <v>105</v>
      </c>
      <c r="C974" s="17" t="s">
        <v>92</v>
      </c>
      <c r="D974" s="17">
        <v>165</v>
      </c>
      <c r="E974" s="17" t="s">
        <v>93</v>
      </c>
      <c r="F974" s="17">
        <v>1</v>
      </c>
      <c r="G974" s="17" t="str">
        <f t="shared" si="14"/>
        <v>M0113-A-165-1</v>
      </c>
      <c r="H974" s="17">
        <v>262.92</v>
      </c>
      <c r="I974" s="17">
        <v>264.36</v>
      </c>
    </row>
    <row r="975" spans="1:9">
      <c r="A975" s="17">
        <v>501</v>
      </c>
      <c r="B975" s="17" t="s">
        <v>105</v>
      </c>
      <c r="C975" s="17" t="s">
        <v>92</v>
      </c>
      <c r="D975" s="17">
        <v>165</v>
      </c>
      <c r="E975" s="17" t="s">
        <v>93</v>
      </c>
      <c r="F975" s="17">
        <v>2</v>
      </c>
      <c r="G975" s="17" t="str">
        <f t="shared" si="14"/>
        <v>M0113-A-165-2</v>
      </c>
      <c r="H975" s="17">
        <v>264.36</v>
      </c>
      <c r="I975" s="17">
        <v>265.06</v>
      </c>
    </row>
    <row r="976" spans="1:9">
      <c r="A976" s="17">
        <v>501</v>
      </c>
      <c r="B976" s="17" t="s">
        <v>105</v>
      </c>
      <c r="C976" s="17" t="s">
        <v>92</v>
      </c>
      <c r="D976" s="17">
        <v>166</v>
      </c>
      <c r="E976" s="17" t="s">
        <v>93</v>
      </c>
      <c r="F976" s="17">
        <v>1</v>
      </c>
      <c r="G976" s="17" t="str">
        <f t="shared" si="14"/>
        <v>M0113-A-166-1</v>
      </c>
      <c r="H976" s="17">
        <v>265.06</v>
      </c>
      <c r="I976" s="17">
        <v>266.06</v>
      </c>
    </row>
    <row r="977" spans="1:9">
      <c r="A977" s="17">
        <v>501</v>
      </c>
      <c r="B977" s="17" t="s">
        <v>105</v>
      </c>
      <c r="C977" s="17" t="s">
        <v>92</v>
      </c>
      <c r="D977" s="17">
        <v>166</v>
      </c>
      <c r="E977" s="17" t="s">
        <v>93</v>
      </c>
      <c r="F977" s="17">
        <v>2</v>
      </c>
      <c r="G977" s="17" t="str">
        <f t="shared" si="14"/>
        <v>M0113-A-166-2</v>
      </c>
      <c r="H977" s="17">
        <v>266.06</v>
      </c>
      <c r="I977" s="17">
        <v>266.77999999999997</v>
      </c>
    </row>
    <row r="978" spans="1:9">
      <c r="A978" s="17">
        <v>501</v>
      </c>
      <c r="B978" s="17" t="s">
        <v>105</v>
      </c>
      <c r="C978" s="17" t="s">
        <v>92</v>
      </c>
      <c r="D978" s="17">
        <v>167</v>
      </c>
      <c r="E978" s="17" t="s">
        <v>93</v>
      </c>
      <c r="F978" s="17">
        <v>1</v>
      </c>
      <c r="G978" s="17" t="str">
        <f t="shared" si="14"/>
        <v>M0113-A-167-1</v>
      </c>
      <c r="H978" s="17">
        <v>266.77999999999997</v>
      </c>
      <c r="I978" s="17">
        <v>268.27999999999997</v>
      </c>
    </row>
    <row r="979" spans="1:9">
      <c r="A979" s="17">
        <v>501</v>
      </c>
      <c r="B979" s="17" t="s">
        <v>105</v>
      </c>
      <c r="C979" s="17" t="s">
        <v>92</v>
      </c>
      <c r="D979" s="17">
        <v>167</v>
      </c>
      <c r="E979" s="17" t="s">
        <v>93</v>
      </c>
      <c r="F979" s="17">
        <v>2</v>
      </c>
      <c r="G979" s="17" t="str">
        <f t="shared" si="14"/>
        <v>M0113-A-167-2</v>
      </c>
      <c r="H979" s="17">
        <v>268.27999999999997</v>
      </c>
      <c r="I979" s="17">
        <v>269.02999999999997</v>
      </c>
    </row>
    <row r="980" spans="1:9">
      <c r="A980" s="17">
        <v>501</v>
      </c>
      <c r="B980" s="17" t="s">
        <v>105</v>
      </c>
      <c r="C980" s="17" t="s">
        <v>92</v>
      </c>
      <c r="D980" s="17">
        <v>168</v>
      </c>
      <c r="E980" s="17" t="s">
        <v>93</v>
      </c>
      <c r="F980" s="17">
        <v>1</v>
      </c>
      <c r="G980" s="17" t="str">
        <f t="shared" si="14"/>
        <v>M0113-A-168-1</v>
      </c>
      <c r="H980" s="17">
        <v>269.02999999999997</v>
      </c>
      <c r="I980" s="17">
        <v>270.52999999999997</v>
      </c>
    </row>
    <row r="981" spans="1:9">
      <c r="A981" s="17">
        <v>501</v>
      </c>
      <c r="B981" s="17" t="s">
        <v>105</v>
      </c>
      <c r="C981" s="17" t="s">
        <v>92</v>
      </c>
      <c r="D981" s="17">
        <v>168</v>
      </c>
      <c r="E981" s="17" t="s">
        <v>93</v>
      </c>
      <c r="F981" s="17">
        <v>2</v>
      </c>
      <c r="G981" s="17" t="str">
        <f t="shared" si="14"/>
        <v>M0113-A-168-2</v>
      </c>
      <c r="H981" s="17">
        <v>270.52999999999997</v>
      </c>
      <c r="I981" s="17">
        <v>270.95</v>
      </c>
    </row>
    <row r="982" spans="1:9">
      <c r="A982" s="17">
        <v>501</v>
      </c>
      <c r="B982" s="17" t="s">
        <v>105</v>
      </c>
      <c r="C982" s="17" t="s">
        <v>92</v>
      </c>
      <c r="D982" s="17">
        <v>169</v>
      </c>
      <c r="E982" s="17" t="s">
        <v>93</v>
      </c>
      <c r="F982" s="17">
        <v>1</v>
      </c>
      <c r="G982" s="17" t="str">
        <f t="shared" si="14"/>
        <v>M0113-A-169-1</v>
      </c>
      <c r="H982" s="17">
        <v>270.95</v>
      </c>
      <c r="I982" s="17">
        <v>272.2</v>
      </c>
    </row>
    <row r="983" spans="1:9">
      <c r="A983" s="17">
        <v>501</v>
      </c>
      <c r="B983" s="17" t="s">
        <v>105</v>
      </c>
      <c r="C983" s="17" t="s">
        <v>92</v>
      </c>
      <c r="D983" s="17">
        <v>169</v>
      </c>
      <c r="E983" s="17" t="s">
        <v>93</v>
      </c>
      <c r="F983" s="17">
        <v>2</v>
      </c>
      <c r="G983" s="17" t="str">
        <f t="shared" si="14"/>
        <v>M0113-A-169-2</v>
      </c>
      <c r="H983" s="17">
        <v>272.2</v>
      </c>
      <c r="I983" s="17">
        <v>272.95999999999998</v>
      </c>
    </row>
    <row r="984" spans="1:9">
      <c r="A984" s="17">
        <v>501</v>
      </c>
      <c r="B984" s="17" t="s">
        <v>105</v>
      </c>
      <c r="C984" s="17" t="s">
        <v>92</v>
      </c>
      <c r="D984" s="17">
        <v>170</v>
      </c>
      <c r="E984" s="17" t="s">
        <v>103</v>
      </c>
      <c r="F984" s="17">
        <v>1</v>
      </c>
      <c r="G984" s="17" t="str">
        <f t="shared" si="14"/>
        <v>M0113-A-170-1</v>
      </c>
      <c r="H984" s="17">
        <v>248.96</v>
      </c>
      <c r="I984" s="17">
        <v>272.95999999999998</v>
      </c>
    </row>
    <row r="985" spans="1:9">
      <c r="A985" s="17">
        <v>501</v>
      </c>
      <c r="B985" s="17" t="s">
        <v>105</v>
      </c>
      <c r="C985" s="17" t="s">
        <v>92</v>
      </c>
      <c r="D985" s="17">
        <v>171</v>
      </c>
      <c r="E985" s="17" t="s">
        <v>93</v>
      </c>
      <c r="F985" s="17">
        <v>1</v>
      </c>
      <c r="G985" s="17" t="str">
        <f t="shared" si="14"/>
        <v>M0113-A-171-1</v>
      </c>
      <c r="H985" s="17">
        <v>272.95999999999998</v>
      </c>
      <c r="I985" s="17">
        <v>274.45999999999998</v>
      </c>
    </row>
    <row r="986" spans="1:9">
      <c r="A986" s="17">
        <v>501</v>
      </c>
      <c r="B986" s="17" t="s">
        <v>105</v>
      </c>
      <c r="C986" s="17" t="s">
        <v>92</v>
      </c>
      <c r="D986" s="17">
        <v>172</v>
      </c>
      <c r="E986" s="17" t="s">
        <v>93</v>
      </c>
      <c r="F986" s="17">
        <v>1</v>
      </c>
      <c r="G986" s="17" t="str">
        <f t="shared" si="14"/>
        <v>M0113-A-172-1</v>
      </c>
      <c r="H986" s="17">
        <v>274.45999999999998</v>
      </c>
      <c r="I986" s="17">
        <v>274.98</v>
      </c>
    </row>
    <row r="987" spans="1:9">
      <c r="A987" s="17">
        <v>501</v>
      </c>
      <c r="B987" s="17" t="s">
        <v>105</v>
      </c>
      <c r="C987" s="17" t="s">
        <v>92</v>
      </c>
      <c r="D987" s="17">
        <v>172</v>
      </c>
      <c r="E987" s="17" t="s">
        <v>93</v>
      </c>
      <c r="F987" s="17">
        <v>2</v>
      </c>
      <c r="G987" s="17" t="str">
        <f t="shared" si="14"/>
        <v>M0113-A-172-2</v>
      </c>
      <c r="H987" s="17">
        <v>274.98</v>
      </c>
      <c r="I987" s="17">
        <v>275.98</v>
      </c>
    </row>
    <row r="988" spans="1:9">
      <c r="A988" s="17">
        <v>501</v>
      </c>
      <c r="B988" s="17" t="s">
        <v>105</v>
      </c>
      <c r="C988" s="17" t="s">
        <v>92</v>
      </c>
      <c r="D988" s="17">
        <v>172</v>
      </c>
      <c r="E988" s="17" t="s">
        <v>93</v>
      </c>
      <c r="F988" s="17">
        <v>3</v>
      </c>
      <c r="G988" s="17" t="str">
        <f t="shared" si="14"/>
        <v>M0113-A-172-3</v>
      </c>
      <c r="H988" s="17">
        <v>275.98</v>
      </c>
      <c r="I988" s="17">
        <v>276.77999999999997</v>
      </c>
    </row>
    <row r="989" spans="1:9">
      <c r="A989" s="17">
        <v>501</v>
      </c>
      <c r="B989" s="17" t="s">
        <v>105</v>
      </c>
      <c r="C989" s="17" t="s">
        <v>92</v>
      </c>
      <c r="D989" s="17">
        <v>172</v>
      </c>
      <c r="E989" s="17" t="s">
        <v>93</v>
      </c>
      <c r="F989" s="17">
        <v>4</v>
      </c>
      <c r="G989" s="17" t="str">
        <f t="shared" si="14"/>
        <v>M0113-A-172-4</v>
      </c>
      <c r="H989" s="17">
        <v>276.77999999999997</v>
      </c>
      <c r="I989" s="17">
        <v>276.83999999999997</v>
      </c>
    </row>
    <row r="990" spans="1:9">
      <c r="A990" s="17">
        <v>501</v>
      </c>
      <c r="B990" s="17" t="s">
        <v>105</v>
      </c>
      <c r="C990" s="17" t="s">
        <v>92</v>
      </c>
      <c r="D990" s="17">
        <v>173</v>
      </c>
      <c r="E990" s="17" t="s">
        <v>93</v>
      </c>
      <c r="F990" s="17">
        <v>1</v>
      </c>
      <c r="G990" s="17" t="str">
        <f t="shared" si="14"/>
        <v>M0113-A-173-1</v>
      </c>
      <c r="H990" s="17">
        <v>276.83999999999997</v>
      </c>
      <c r="I990" s="17">
        <v>277.73</v>
      </c>
    </row>
    <row r="991" spans="1:9">
      <c r="A991" s="17">
        <v>501</v>
      </c>
      <c r="B991" s="17" t="s">
        <v>105</v>
      </c>
      <c r="C991" s="17" t="s">
        <v>92</v>
      </c>
      <c r="D991" s="17">
        <v>174</v>
      </c>
      <c r="E991" s="17" t="s">
        <v>93</v>
      </c>
      <c r="F991" s="17">
        <v>1</v>
      </c>
      <c r="G991" s="17" t="str">
        <f t="shared" si="14"/>
        <v>M0113-A-174-1</v>
      </c>
      <c r="H991" s="17">
        <v>277.73</v>
      </c>
      <c r="I991" s="17">
        <v>277.74</v>
      </c>
    </row>
    <row r="992" spans="1:9">
      <c r="A992" s="17">
        <v>501</v>
      </c>
      <c r="B992" s="17" t="s">
        <v>105</v>
      </c>
      <c r="C992" s="17" t="s">
        <v>92</v>
      </c>
      <c r="D992" s="17">
        <v>175</v>
      </c>
      <c r="E992" s="17" t="s">
        <v>95</v>
      </c>
      <c r="F992" s="17">
        <v>1</v>
      </c>
      <c r="G992" s="17" t="str">
        <f t="shared" si="14"/>
        <v>M0113-A-175-1</v>
      </c>
      <c r="H992" s="17">
        <v>277.74</v>
      </c>
      <c r="I992" s="17">
        <v>278.99</v>
      </c>
    </row>
    <row r="993" spans="1:9">
      <c r="A993" s="17">
        <v>501</v>
      </c>
      <c r="B993" s="17" t="s">
        <v>105</v>
      </c>
      <c r="C993" s="17" t="s">
        <v>92</v>
      </c>
      <c r="D993" s="17">
        <v>176</v>
      </c>
      <c r="E993" s="17" t="s">
        <v>95</v>
      </c>
      <c r="F993" s="17">
        <v>1</v>
      </c>
      <c r="G993" s="17" t="str">
        <f t="shared" si="14"/>
        <v>M0113-A-176-1</v>
      </c>
      <c r="H993" s="17">
        <v>279.74</v>
      </c>
      <c r="I993" s="17">
        <v>280.13</v>
      </c>
    </row>
    <row r="994" spans="1:9">
      <c r="A994" s="17">
        <v>501</v>
      </c>
      <c r="B994" s="17" t="s">
        <v>105</v>
      </c>
      <c r="C994" s="17" t="s">
        <v>92</v>
      </c>
      <c r="D994" s="17">
        <v>177</v>
      </c>
      <c r="E994" s="17" t="s">
        <v>93</v>
      </c>
      <c r="F994" s="17">
        <v>1</v>
      </c>
      <c r="G994" s="17" t="str">
        <f t="shared" si="14"/>
        <v>M0113-A-177-1</v>
      </c>
      <c r="H994" s="17">
        <v>281.49</v>
      </c>
      <c r="I994" s="17">
        <v>282.27999999999997</v>
      </c>
    </row>
    <row r="995" spans="1:9">
      <c r="A995" s="17">
        <v>501</v>
      </c>
      <c r="B995" s="17" t="s">
        <v>105</v>
      </c>
      <c r="C995" s="17" t="s">
        <v>92</v>
      </c>
      <c r="D995" s="17">
        <v>177</v>
      </c>
      <c r="E995" s="17" t="s">
        <v>93</v>
      </c>
      <c r="F995" s="17">
        <v>2</v>
      </c>
      <c r="G995" s="17" t="str">
        <f t="shared" si="14"/>
        <v>M0113-A-177-2</v>
      </c>
      <c r="H995" s="17">
        <v>282.27999999999997</v>
      </c>
      <c r="I995" s="17">
        <v>282.89</v>
      </c>
    </row>
    <row r="996" spans="1:9">
      <c r="A996" s="17">
        <v>501</v>
      </c>
      <c r="B996" s="17" t="s">
        <v>105</v>
      </c>
      <c r="C996" s="17" t="s">
        <v>92</v>
      </c>
      <c r="D996" s="17">
        <v>178</v>
      </c>
      <c r="E996" s="17" t="s">
        <v>93</v>
      </c>
      <c r="F996" s="17">
        <v>1</v>
      </c>
      <c r="G996" s="17" t="str">
        <f t="shared" si="14"/>
        <v>M0113-A-178-1</v>
      </c>
      <c r="H996" s="17">
        <v>282.89</v>
      </c>
      <c r="I996" s="17">
        <v>284.29000000000002</v>
      </c>
    </row>
    <row r="997" spans="1:9">
      <c r="A997" s="17">
        <v>501</v>
      </c>
      <c r="B997" s="17" t="s">
        <v>105</v>
      </c>
      <c r="C997" s="17" t="s">
        <v>92</v>
      </c>
      <c r="D997" s="17">
        <v>178</v>
      </c>
      <c r="E997" s="17" t="s">
        <v>93</v>
      </c>
      <c r="F997" s="17">
        <v>2</v>
      </c>
      <c r="G997" s="17" t="str">
        <f t="shared" si="14"/>
        <v>M0113-A-178-2</v>
      </c>
      <c r="H997" s="17">
        <v>284.29000000000002</v>
      </c>
      <c r="I997" s="17">
        <v>284.79000000000002</v>
      </c>
    </row>
    <row r="998" spans="1:9">
      <c r="A998" s="17">
        <v>501</v>
      </c>
      <c r="B998" s="17" t="s">
        <v>105</v>
      </c>
      <c r="C998" s="17" t="s">
        <v>92</v>
      </c>
      <c r="D998" s="17">
        <v>179</v>
      </c>
      <c r="E998" s="17" t="s">
        <v>93</v>
      </c>
      <c r="F998" s="17">
        <v>1</v>
      </c>
      <c r="G998" s="17" t="str">
        <f t="shared" si="14"/>
        <v>M0113-A-179-1</v>
      </c>
      <c r="H998" s="17">
        <v>284.79000000000002</v>
      </c>
      <c r="I998" s="17">
        <v>285.55</v>
      </c>
    </row>
    <row r="999" spans="1:9">
      <c r="A999" s="17">
        <v>501</v>
      </c>
      <c r="B999" s="17" t="s">
        <v>105</v>
      </c>
      <c r="C999" s="17" t="s">
        <v>92</v>
      </c>
      <c r="D999" s="17">
        <v>179</v>
      </c>
      <c r="E999" s="17" t="s">
        <v>93</v>
      </c>
      <c r="F999" s="17">
        <v>2</v>
      </c>
      <c r="G999" s="17" t="str">
        <f t="shared" si="14"/>
        <v>M0113-A-179-2</v>
      </c>
      <c r="H999" s="17">
        <v>285.55</v>
      </c>
      <c r="I999" s="17">
        <v>286.08999999999997</v>
      </c>
    </row>
    <row r="1000" spans="1:9">
      <c r="A1000" s="17">
        <v>501</v>
      </c>
      <c r="B1000" s="17" t="s">
        <v>105</v>
      </c>
      <c r="C1000" s="17" t="s">
        <v>92</v>
      </c>
      <c r="D1000" s="17">
        <v>180</v>
      </c>
      <c r="E1000" s="17" t="s">
        <v>93</v>
      </c>
      <c r="F1000" s="17">
        <v>1</v>
      </c>
      <c r="G1000" s="17" t="str">
        <f t="shared" si="14"/>
        <v>M0113-A-180-1</v>
      </c>
      <c r="H1000" s="17">
        <v>286.08999999999997</v>
      </c>
      <c r="I1000" s="17">
        <v>286.99</v>
      </c>
    </row>
    <row r="1001" spans="1:9">
      <c r="A1001" s="17">
        <v>501</v>
      </c>
      <c r="B1001" s="17" t="s">
        <v>105</v>
      </c>
      <c r="C1001" s="17" t="s">
        <v>92</v>
      </c>
      <c r="D1001" s="17">
        <v>181</v>
      </c>
      <c r="E1001" s="17" t="s">
        <v>93</v>
      </c>
      <c r="F1001" s="17">
        <v>1</v>
      </c>
      <c r="G1001" s="17" t="str">
        <f t="shared" si="14"/>
        <v>M0113-A-181-1</v>
      </c>
      <c r="H1001" s="17">
        <v>286.99</v>
      </c>
      <c r="I1001" s="17">
        <v>288.39999999999998</v>
      </c>
    </row>
    <row r="1002" spans="1:9">
      <c r="A1002" s="17">
        <v>501</v>
      </c>
      <c r="B1002" s="17" t="s">
        <v>105</v>
      </c>
      <c r="C1002" s="17" t="s">
        <v>92</v>
      </c>
      <c r="D1002" s="17">
        <v>182</v>
      </c>
      <c r="E1002" s="17" t="s">
        <v>93</v>
      </c>
      <c r="F1002" s="17">
        <v>1</v>
      </c>
      <c r="G1002" s="17" t="str">
        <f t="shared" si="14"/>
        <v>M0113-A-182-1</v>
      </c>
      <c r="H1002" s="17">
        <v>288.39999999999998</v>
      </c>
      <c r="I1002" s="17">
        <v>289.89999999999998</v>
      </c>
    </row>
    <row r="1003" spans="1:9">
      <c r="A1003" s="17">
        <v>501</v>
      </c>
      <c r="B1003" s="17" t="s">
        <v>105</v>
      </c>
      <c r="C1003" s="17" t="s">
        <v>92</v>
      </c>
      <c r="D1003" s="17">
        <v>182</v>
      </c>
      <c r="E1003" s="17" t="s">
        <v>93</v>
      </c>
      <c r="F1003" s="17">
        <v>2</v>
      </c>
      <c r="G1003" s="17" t="str">
        <f t="shared" si="14"/>
        <v>M0113-A-182-2</v>
      </c>
      <c r="H1003" s="17">
        <v>289.89999999999998</v>
      </c>
      <c r="I1003" s="17">
        <v>290.66000000000003</v>
      </c>
    </row>
    <row r="1004" spans="1:9">
      <c r="A1004" s="17">
        <v>501</v>
      </c>
      <c r="B1004" s="17" t="s">
        <v>105</v>
      </c>
      <c r="C1004" s="17" t="s">
        <v>92</v>
      </c>
      <c r="D1004" s="17">
        <v>183</v>
      </c>
      <c r="E1004" s="17" t="s">
        <v>93</v>
      </c>
      <c r="F1004" s="17">
        <v>1</v>
      </c>
      <c r="G1004" s="17" t="str">
        <f t="shared" si="14"/>
        <v>M0113-A-183-1</v>
      </c>
      <c r="H1004" s="17">
        <v>290.66000000000003</v>
      </c>
      <c r="I1004" s="17">
        <v>290.89</v>
      </c>
    </row>
    <row r="1005" spans="1:9">
      <c r="A1005" s="17">
        <v>501</v>
      </c>
      <c r="B1005" s="17" t="s">
        <v>105</v>
      </c>
      <c r="C1005" s="17" t="s">
        <v>92</v>
      </c>
      <c r="D1005" s="17">
        <v>184</v>
      </c>
      <c r="E1005" s="17" t="s">
        <v>93</v>
      </c>
      <c r="F1005" s="17">
        <v>1</v>
      </c>
      <c r="G1005" s="17" t="str">
        <f t="shared" si="14"/>
        <v>M0113-A-184-1</v>
      </c>
      <c r="H1005" s="17">
        <v>290.89</v>
      </c>
      <c r="I1005" s="17">
        <v>292.19</v>
      </c>
    </row>
    <row r="1006" spans="1:9">
      <c r="A1006" s="17">
        <v>501</v>
      </c>
      <c r="B1006" s="17" t="s">
        <v>105</v>
      </c>
      <c r="C1006" s="17" t="s">
        <v>92</v>
      </c>
      <c r="D1006" s="17">
        <v>185</v>
      </c>
      <c r="E1006" s="17" t="s">
        <v>93</v>
      </c>
      <c r="F1006" s="17">
        <v>1</v>
      </c>
      <c r="G1006" s="17" t="str">
        <f t="shared" si="14"/>
        <v>M0113-A-185-1</v>
      </c>
      <c r="H1006" s="17">
        <v>292.19</v>
      </c>
      <c r="I1006" s="17">
        <v>293.2</v>
      </c>
    </row>
    <row r="1007" spans="1:9">
      <c r="A1007" s="17">
        <v>501</v>
      </c>
      <c r="B1007" s="17" t="s">
        <v>105</v>
      </c>
      <c r="C1007" s="17" t="s">
        <v>92</v>
      </c>
      <c r="D1007" s="17">
        <v>185</v>
      </c>
      <c r="E1007" s="17" t="s">
        <v>93</v>
      </c>
      <c r="F1007" s="17">
        <v>2</v>
      </c>
      <c r="G1007" s="17" t="str">
        <f t="shared" si="14"/>
        <v>M0113-A-185-2</v>
      </c>
      <c r="H1007" s="17">
        <v>293.2</v>
      </c>
      <c r="I1007" s="17">
        <v>293.83999999999997</v>
      </c>
    </row>
    <row r="1008" spans="1:9">
      <c r="A1008" s="17">
        <v>501</v>
      </c>
      <c r="B1008" s="17" t="s">
        <v>105</v>
      </c>
      <c r="C1008" s="17" t="s">
        <v>92</v>
      </c>
      <c r="D1008" s="17">
        <v>186</v>
      </c>
      <c r="E1008" s="17" t="s">
        <v>93</v>
      </c>
      <c r="F1008" s="17">
        <v>1</v>
      </c>
      <c r="G1008" s="17" t="str">
        <f t="shared" si="14"/>
        <v>M0113-A-186-1</v>
      </c>
      <c r="H1008" s="17">
        <v>293.83999999999997</v>
      </c>
      <c r="I1008" s="17">
        <v>293.89</v>
      </c>
    </row>
    <row r="1009" spans="1:9">
      <c r="A1009" s="17">
        <v>501</v>
      </c>
      <c r="B1009" s="17" t="s">
        <v>105</v>
      </c>
      <c r="C1009" s="17" t="s">
        <v>92</v>
      </c>
      <c r="D1009" s="17">
        <v>187</v>
      </c>
      <c r="E1009" s="17" t="s">
        <v>93</v>
      </c>
      <c r="F1009" s="17">
        <v>1</v>
      </c>
      <c r="G1009" s="17" t="str">
        <f t="shared" si="14"/>
        <v>M0113-A-187-1</v>
      </c>
      <c r="H1009" s="17">
        <v>293.89</v>
      </c>
      <c r="I1009" s="17">
        <v>294.47000000000003</v>
      </c>
    </row>
    <row r="1010" spans="1:9">
      <c r="A1010" s="17">
        <v>501</v>
      </c>
      <c r="B1010" s="17" t="s">
        <v>105</v>
      </c>
      <c r="C1010" s="17" t="s">
        <v>92</v>
      </c>
      <c r="D1010" s="17">
        <v>188</v>
      </c>
      <c r="E1010" s="17" t="s">
        <v>93</v>
      </c>
      <c r="F1010" s="17">
        <v>1</v>
      </c>
      <c r="G1010" s="17" t="str">
        <f t="shared" si="14"/>
        <v>M0113-A-188-1</v>
      </c>
      <c r="H1010" s="17">
        <v>294.47000000000003</v>
      </c>
      <c r="I1010" s="17">
        <v>295.41000000000003</v>
      </c>
    </row>
    <row r="1011" spans="1:9">
      <c r="A1011" s="17">
        <v>501</v>
      </c>
      <c r="B1011" s="17" t="s">
        <v>105</v>
      </c>
      <c r="C1011" s="17" t="s">
        <v>92</v>
      </c>
      <c r="D1011" s="17">
        <v>189</v>
      </c>
      <c r="E1011" s="17" t="s">
        <v>95</v>
      </c>
      <c r="F1011" s="17">
        <v>1</v>
      </c>
      <c r="G1011" s="17" t="str">
        <f t="shared" si="14"/>
        <v>M0113-A-189-1</v>
      </c>
      <c r="H1011" s="17">
        <v>295.41000000000003</v>
      </c>
      <c r="I1011" s="17">
        <v>295.79000000000002</v>
      </c>
    </row>
    <row r="1012" spans="1:9">
      <c r="A1012" s="17">
        <v>501</v>
      </c>
      <c r="B1012" s="17" t="s">
        <v>105</v>
      </c>
      <c r="C1012" s="17" t="s">
        <v>92</v>
      </c>
      <c r="D1012" s="17">
        <v>190</v>
      </c>
      <c r="E1012" s="17" t="s">
        <v>95</v>
      </c>
      <c r="F1012" s="17">
        <v>1</v>
      </c>
      <c r="G1012" s="17" t="str">
        <f t="shared" si="14"/>
        <v>M0113-A-190-1</v>
      </c>
      <c r="H1012" s="17">
        <v>296.49</v>
      </c>
      <c r="I1012" s="17">
        <v>296.76</v>
      </c>
    </row>
    <row r="1013" spans="1:9">
      <c r="A1013" s="17">
        <v>501</v>
      </c>
      <c r="B1013" s="17" t="s">
        <v>105</v>
      </c>
      <c r="C1013" s="17" t="s">
        <v>92</v>
      </c>
      <c r="D1013" s="17">
        <v>191</v>
      </c>
      <c r="E1013" s="17" t="s">
        <v>93</v>
      </c>
      <c r="F1013" s="17">
        <v>1</v>
      </c>
      <c r="G1013" s="17" t="str">
        <f t="shared" si="14"/>
        <v>M0113-A-191-1</v>
      </c>
      <c r="H1013" s="17">
        <v>297.99</v>
      </c>
      <c r="I1013" s="17">
        <v>298.99</v>
      </c>
    </row>
    <row r="1014" spans="1:9">
      <c r="A1014" s="17">
        <v>501</v>
      </c>
      <c r="B1014" s="17" t="s">
        <v>105</v>
      </c>
      <c r="C1014" s="17" t="s">
        <v>92</v>
      </c>
      <c r="D1014" s="17">
        <v>191</v>
      </c>
      <c r="E1014" s="17" t="s">
        <v>93</v>
      </c>
      <c r="F1014" s="17">
        <v>2</v>
      </c>
      <c r="G1014" s="17" t="str">
        <f t="shared" si="14"/>
        <v>M0113-A-191-2</v>
      </c>
      <c r="H1014" s="17">
        <v>298.99</v>
      </c>
      <c r="I1014" s="17">
        <v>299.83</v>
      </c>
    </row>
    <row r="1015" spans="1:9">
      <c r="A1015" s="17">
        <v>501</v>
      </c>
      <c r="B1015" s="17" t="s">
        <v>105</v>
      </c>
      <c r="C1015" s="17" t="s">
        <v>92</v>
      </c>
      <c r="D1015" s="17">
        <v>192</v>
      </c>
      <c r="E1015" s="17" t="s">
        <v>93</v>
      </c>
      <c r="F1015" s="17">
        <v>1</v>
      </c>
      <c r="G1015" s="17" t="str">
        <f t="shared" si="14"/>
        <v>M0113-A-192-1</v>
      </c>
      <c r="H1015" s="17">
        <v>299.83</v>
      </c>
      <c r="I1015" s="17">
        <v>300.97000000000003</v>
      </c>
    </row>
    <row r="1016" spans="1:9">
      <c r="A1016" s="17">
        <v>501</v>
      </c>
      <c r="B1016" s="17" t="s">
        <v>105</v>
      </c>
      <c r="C1016" s="17" t="s">
        <v>92</v>
      </c>
      <c r="D1016" s="17">
        <v>193</v>
      </c>
      <c r="E1016" s="17" t="s">
        <v>93</v>
      </c>
      <c r="F1016" s="17">
        <v>1</v>
      </c>
      <c r="G1016" s="17" t="str">
        <f t="shared" ref="G1016:G1049" si="15">CONCATENATE(B1016, "-",C1016, "-", D1016, "-", F1016)</f>
        <v>M0113-A-193-1</v>
      </c>
      <c r="H1016" s="17">
        <v>300.97000000000003</v>
      </c>
      <c r="I1016" s="17">
        <v>301.43</v>
      </c>
    </row>
    <row r="1017" spans="1:9">
      <c r="A1017" s="17">
        <v>501</v>
      </c>
      <c r="B1017" s="17" t="s">
        <v>105</v>
      </c>
      <c r="C1017" s="17" t="s">
        <v>92</v>
      </c>
      <c r="D1017" s="17">
        <v>193</v>
      </c>
      <c r="E1017" s="17" t="s">
        <v>93</v>
      </c>
      <c r="F1017" s="17">
        <v>2</v>
      </c>
      <c r="G1017" s="17" t="str">
        <f t="shared" si="15"/>
        <v>M0113-A-193-2</v>
      </c>
      <c r="H1017" s="17">
        <v>301.43</v>
      </c>
      <c r="I1017" s="17">
        <v>301.82</v>
      </c>
    </row>
    <row r="1018" spans="1:9">
      <c r="A1018" s="17">
        <v>501</v>
      </c>
      <c r="B1018" s="17" t="s">
        <v>105</v>
      </c>
      <c r="C1018" s="17" t="s">
        <v>92</v>
      </c>
      <c r="D1018" s="17">
        <v>194</v>
      </c>
      <c r="E1018" s="17" t="s">
        <v>93</v>
      </c>
      <c r="F1018" s="17">
        <v>1</v>
      </c>
      <c r="G1018" s="17" t="str">
        <f t="shared" si="15"/>
        <v>M0113-A-194-1</v>
      </c>
      <c r="H1018" s="17">
        <v>301.82</v>
      </c>
      <c r="I1018" s="17">
        <v>301.95</v>
      </c>
    </row>
    <row r="1019" spans="1:9">
      <c r="A1019" s="17">
        <v>501</v>
      </c>
      <c r="B1019" s="17" t="s">
        <v>105</v>
      </c>
      <c r="C1019" s="17" t="s">
        <v>92</v>
      </c>
      <c r="D1019" s="17">
        <v>194</v>
      </c>
      <c r="E1019" s="17" t="s">
        <v>93</v>
      </c>
      <c r="F1019" s="17">
        <v>2</v>
      </c>
      <c r="G1019" s="17" t="str">
        <f t="shared" si="15"/>
        <v>M0113-A-194-2</v>
      </c>
      <c r="H1019" s="17">
        <v>301.95</v>
      </c>
      <c r="I1019" s="17">
        <v>302.10000000000002</v>
      </c>
    </row>
    <row r="1020" spans="1:9">
      <c r="A1020" s="17">
        <v>501</v>
      </c>
      <c r="B1020" s="17" t="s">
        <v>105</v>
      </c>
      <c r="C1020" s="17" t="s">
        <v>92</v>
      </c>
      <c r="D1020" s="17">
        <v>194</v>
      </c>
      <c r="E1020" s="17" t="s">
        <v>93</v>
      </c>
      <c r="F1020" s="17">
        <v>3</v>
      </c>
      <c r="G1020" s="17" t="str">
        <f t="shared" si="15"/>
        <v>M0113-A-194-3</v>
      </c>
      <c r="H1020" s="17">
        <v>302.10000000000002</v>
      </c>
      <c r="I1020" s="17">
        <v>302.69</v>
      </c>
    </row>
    <row r="1021" spans="1:9">
      <c r="A1021" s="17">
        <v>501</v>
      </c>
      <c r="B1021" s="17" t="s">
        <v>105</v>
      </c>
      <c r="C1021" s="17" t="s">
        <v>92</v>
      </c>
      <c r="D1021" s="17">
        <v>195</v>
      </c>
      <c r="E1021" s="17" t="s">
        <v>93</v>
      </c>
      <c r="F1021" s="17">
        <v>1</v>
      </c>
      <c r="G1021" s="17" t="str">
        <f t="shared" si="15"/>
        <v>M0113-A-195-1</v>
      </c>
      <c r="H1021" s="17">
        <v>302.69</v>
      </c>
      <c r="I1021" s="17">
        <v>303.26</v>
      </c>
    </row>
    <row r="1022" spans="1:9">
      <c r="A1022" s="17">
        <v>501</v>
      </c>
      <c r="B1022" s="17" t="s">
        <v>105</v>
      </c>
      <c r="C1022" s="17" t="s">
        <v>92</v>
      </c>
      <c r="D1022" s="17">
        <v>196</v>
      </c>
      <c r="E1022" s="17" t="s">
        <v>93</v>
      </c>
      <c r="F1022" s="17">
        <v>1</v>
      </c>
      <c r="G1022" s="17" t="str">
        <f t="shared" si="15"/>
        <v>M0113-A-196-1</v>
      </c>
      <c r="H1022" s="17">
        <v>303.26</v>
      </c>
      <c r="I1022" s="17">
        <v>304.36</v>
      </c>
    </row>
    <row r="1023" spans="1:9">
      <c r="A1023" s="17">
        <v>501</v>
      </c>
      <c r="B1023" s="17" t="s">
        <v>105</v>
      </c>
      <c r="C1023" s="17" t="s">
        <v>92</v>
      </c>
      <c r="D1023" s="17">
        <v>196</v>
      </c>
      <c r="E1023" s="17" t="s">
        <v>93</v>
      </c>
      <c r="F1023" s="17">
        <v>2</v>
      </c>
      <c r="G1023" s="17" t="str">
        <f t="shared" si="15"/>
        <v>M0113-A-196-2</v>
      </c>
      <c r="H1023" s="17">
        <v>304.36</v>
      </c>
      <c r="I1023" s="17">
        <v>304.79000000000002</v>
      </c>
    </row>
    <row r="1024" spans="1:9">
      <c r="A1024" s="17">
        <v>501</v>
      </c>
      <c r="B1024" s="17" t="s">
        <v>105</v>
      </c>
      <c r="C1024" s="17" t="s">
        <v>92</v>
      </c>
      <c r="D1024" s="17">
        <v>197</v>
      </c>
      <c r="E1024" s="17" t="s">
        <v>93</v>
      </c>
      <c r="F1024" s="17">
        <v>1</v>
      </c>
      <c r="G1024" s="17" t="str">
        <f t="shared" si="15"/>
        <v>M0113-A-197-1</v>
      </c>
      <c r="H1024" s="17">
        <v>304.79000000000002</v>
      </c>
      <c r="I1024" s="17">
        <v>305.22000000000003</v>
      </c>
    </row>
    <row r="1025" spans="1:9">
      <c r="A1025" s="17">
        <v>501</v>
      </c>
      <c r="B1025" s="17" t="s">
        <v>105</v>
      </c>
      <c r="C1025" s="17" t="s">
        <v>92</v>
      </c>
      <c r="D1025" s="17">
        <v>197</v>
      </c>
      <c r="E1025" s="17" t="s">
        <v>93</v>
      </c>
      <c r="F1025" s="17">
        <v>2</v>
      </c>
      <c r="G1025" s="17" t="str">
        <f t="shared" si="15"/>
        <v>M0113-A-197-2</v>
      </c>
      <c r="H1025" s="17">
        <v>305.22000000000003</v>
      </c>
      <c r="I1025" s="17">
        <v>305.41000000000003</v>
      </c>
    </row>
    <row r="1026" spans="1:9">
      <c r="A1026" s="17">
        <v>501</v>
      </c>
      <c r="B1026" s="17" t="s">
        <v>105</v>
      </c>
      <c r="C1026" s="17" t="s">
        <v>92</v>
      </c>
      <c r="D1026" s="17">
        <v>198</v>
      </c>
      <c r="E1026" s="17" t="s">
        <v>93</v>
      </c>
      <c r="F1026" s="17">
        <v>1</v>
      </c>
      <c r="G1026" s="17" t="str">
        <f t="shared" si="15"/>
        <v>M0113-A-198-1</v>
      </c>
      <c r="H1026" s="17">
        <v>305.41000000000003</v>
      </c>
      <c r="I1026" s="17">
        <v>305.49</v>
      </c>
    </row>
    <row r="1027" spans="1:9">
      <c r="A1027" s="17">
        <v>501</v>
      </c>
      <c r="B1027" s="17" t="s">
        <v>105</v>
      </c>
      <c r="C1027" s="17" t="s">
        <v>92</v>
      </c>
      <c r="D1027" s="17">
        <v>198</v>
      </c>
      <c r="E1027" s="17" t="s">
        <v>93</v>
      </c>
      <c r="F1027" s="17">
        <v>2</v>
      </c>
      <c r="G1027" s="17" t="str">
        <f t="shared" si="15"/>
        <v>M0113-A-198-2</v>
      </c>
      <c r="H1027" s="17">
        <v>305.49</v>
      </c>
      <c r="I1027" s="17">
        <v>306.04000000000002</v>
      </c>
    </row>
    <row r="1028" spans="1:9">
      <c r="A1028" s="17">
        <v>501</v>
      </c>
      <c r="B1028" s="17" t="s">
        <v>105</v>
      </c>
      <c r="C1028" s="17" t="s">
        <v>92</v>
      </c>
      <c r="D1028" s="17">
        <v>199</v>
      </c>
      <c r="E1028" s="17" t="s">
        <v>93</v>
      </c>
      <c r="F1028" s="17">
        <v>1</v>
      </c>
      <c r="G1028" s="17" t="str">
        <f t="shared" si="15"/>
        <v>M0113-A-199-1</v>
      </c>
      <c r="H1028" s="17">
        <v>306.04000000000002</v>
      </c>
      <c r="I1028" s="17">
        <v>306.45999999999998</v>
      </c>
    </row>
    <row r="1029" spans="1:9">
      <c r="A1029" s="17">
        <v>501</v>
      </c>
      <c r="B1029" s="17" t="s">
        <v>105</v>
      </c>
      <c r="C1029" s="17" t="s">
        <v>92</v>
      </c>
      <c r="D1029" s="17">
        <v>200</v>
      </c>
      <c r="E1029" s="17" t="s">
        <v>95</v>
      </c>
      <c r="F1029" s="17">
        <v>1</v>
      </c>
      <c r="G1029" s="17" t="str">
        <f t="shared" si="15"/>
        <v>M0113-A-200-1</v>
      </c>
      <c r="H1029" s="17">
        <v>306.45999999999998</v>
      </c>
      <c r="I1029" s="17">
        <v>307.12</v>
      </c>
    </row>
    <row r="1030" spans="1:9">
      <c r="A1030" s="17">
        <v>501</v>
      </c>
      <c r="B1030" s="17" t="s">
        <v>105</v>
      </c>
      <c r="C1030" s="17" t="s">
        <v>92</v>
      </c>
      <c r="D1030" s="17">
        <v>200</v>
      </c>
      <c r="E1030" s="17" t="s">
        <v>95</v>
      </c>
      <c r="F1030" s="17">
        <v>2</v>
      </c>
      <c r="G1030" s="17" t="str">
        <f t="shared" si="15"/>
        <v>M0113-A-200-2</v>
      </c>
      <c r="H1030" s="17">
        <v>307.12</v>
      </c>
      <c r="I1030" s="17">
        <v>307.45</v>
      </c>
    </row>
    <row r="1031" spans="1:9">
      <c r="A1031" s="17">
        <v>501</v>
      </c>
      <c r="B1031" s="17" t="s">
        <v>105</v>
      </c>
      <c r="C1031" s="17" t="s">
        <v>92</v>
      </c>
      <c r="D1031" s="17">
        <v>200</v>
      </c>
      <c r="E1031" s="17" t="s">
        <v>95</v>
      </c>
      <c r="F1031" s="17">
        <v>3</v>
      </c>
      <c r="G1031" s="17" t="str">
        <f t="shared" si="15"/>
        <v>M0113-A-200-3</v>
      </c>
      <c r="H1031" s="17">
        <v>307.45</v>
      </c>
      <c r="I1031" s="17">
        <v>307.52999999999997</v>
      </c>
    </row>
    <row r="1032" spans="1:9">
      <c r="A1032" s="17">
        <v>501</v>
      </c>
      <c r="B1032" s="17" t="s">
        <v>105</v>
      </c>
      <c r="C1032" s="17" t="s">
        <v>92</v>
      </c>
      <c r="D1032" s="17">
        <v>201</v>
      </c>
      <c r="E1032" s="17" t="s">
        <v>95</v>
      </c>
      <c r="F1032" s="17">
        <v>1</v>
      </c>
      <c r="G1032" s="17" t="str">
        <f t="shared" si="15"/>
        <v>M0113-A-201-1</v>
      </c>
      <c r="H1032" s="17">
        <v>308.49</v>
      </c>
      <c r="I1032" s="17">
        <v>308.94</v>
      </c>
    </row>
    <row r="1033" spans="1:9">
      <c r="A1033" s="17">
        <v>501</v>
      </c>
      <c r="B1033" s="17" t="s">
        <v>105</v>
      </c>
      <c r="C1033" s="17" t="s">
        <v>92</v>
      </c>
      <c r="D1033" s="17">
        <v>201</v>
      </c>
      <c r="E1033" s="17" t="s">
        <v>95</v>
      </c>
      <c r="F1033" s="17">
        <v>2</v>
      </c>
      <c r="G1033" s="17" t="str">
        <f t="shared" si="15"/>
        <v>M0113-A-201-2</v>
      </c>
      <c r="H1033" s="17">
        <v>308.94</v>
      </c>
      <c r="I1033" s="17">
        <v>309.29000000000002</v>
      </c>
    </row>
    <row r="1034" spans="1:9">
      <c r="A1034" s="17">
        <v>501</v>
      </c>
      <c r="B1034" s="17" t="s">
        <v>105</v>
      </c>
      <c r="C1034" s="17" t="s">
        <v>92</v>
      </c>
      <c r="D1034" s="17">
        <v>202</v>
      </c>
      <c r="E1034" s="17" t="s">
        <v>95</v>
      </c>
      <c r="F1034" s="17">
        <v>1</v>
      </c>
      <c r="G1034" s="17" t="str">
        <f t="shared" si="15"/>
        <v>M0113-A-202-1</v>
      </c>
      <c r="H1034" s="17">
        <v>311.49</v>
      </c>
      <c r="I1034" s="17">
        <v>311.99</v>
      </c>
    </row>
    <row r="1035" spans="1:9">
      <c r="A1035" s="17">
        <v>501</v>
      </c>
      <c r="B1035" s="17" t="s">
        <v>105</v>
      </c>
      <c r="C1035" s="17" t="s">
        <v>92</v>
      </c>
      <c r="D1035" s="17">
        <v>203</v>
      </c>
      <c r="E1035" s="17" t="s">
        <v>95</v>
      </c>
      <c r="F1035" s="17">
        <v>1</v>
      </c>
      <c r="G1035" s="17" t="str">
        <f t="shared" si="15"/>
        <v>M0113-A-203-1</v>
      </c>
      <c r="H1035" s="17">
        <v>312.99</v>
      </c>
      <c r="I1035" s="17">
        <v>313.99</v>
      </c>
    </row>
    <row r="1036" spans="1:9">
      <c r="A1036" s="17">
        <v>501</v>
      </c>
      <c r="B1036" s="17" t="s">
        <v>105</v>
      </c>
      <c r="C1036" s="17" t="s">
        <v>92</v>
      </c>
      <c r="D1036" s="17">
        <v>203</v>
      </c>
      <c r="E1036" s="17" t="s">
        <v>95</v>
      </c>
      <c r="F1036" s="17">
        <v>2</v>
      </c>
      <c r="G1036" s="17" t="str">
        <f t="shared" si="15"/>
        <v>M0113-A-203-2</v>
      </c>
      <c r="H1036" s="17">
        <v>313.99</v>
      </c>
      <c r="I1036" s="17">
        <v>314.55</v>
      </c>
    </row>
    <row r="1037" spans="1:9">
      <c r="A1037" s="17">
        <v>501</v>
      </c>
      <c r="B1037" s="17" t="s">
        <v>105</v>
      </c>
      <c r="C1037" s="17" t="s">
        <v>92</v>
      </c>
      <c r="D1037" s="17">
        <v>204</v>
      </c>
      <c r="E1037" s="17" t="s">
        <v>95</v>
      </c>
      <c r="F1037" s="17">
        <v>1</v>
      </c>
      <c r="G1037" s="17" t="str">
        <f t="shared" si="15"/>
        <v>M0113-A-204-1</v>
      </c>
      <c r="H1037" s="17">
        <v>314.49</v>
      </c>
      <c r="I1037" s="17">
        <v>314.89</v>
      </c>
    </row>
    <row r="1038" spans="1:9">
      <c r="A1038" s="17">
        <v>501</v>
      </c>
      <c r="B1038" s="17" t="s">
        <v>105</v>
      </c>
      <c r="C1038" s="17" t="s">
        <v>92</v>
      </c>
      <c r="D1038" s="17">
        <v>204</v>
      </c>
      <c r="E1038" s="17" t="s">
        <v>95</v>
      </c>
      <c r="F1038" s="17">
        <v>2</v>
      </c>
      <c r="G1038" s="17" t="str">
        <f t="shared" si="15"/>
        <v>M0113-A-204-2</v>
      </c>
      <c r="H1038" s="17">
        <v>314.89</v>
      </c>
      <c r="I1038" s="17">
        <v>314.99</v>
      </c>
    </row>
    <row r="1039" spans="1:9">
      <c r="A1039" s="17">
        <v>501</v>
      </c>
      <c r="B1039" s="17" t="s">
        <v>105</v>
      </c>
      <c r="C1039" s="17" t="s">
        <v>92</v>
      </c>
      <c r="D1039" s="17">
        <v>205</v>
      </c>
      <c r="E1039" s="17" t="s">
        <v>95</v>
      </c>
      <c r="F1039" s="17">
        <v>1</v>
      </c>
      <c r="G1039" s="17" t="str">
        <f t="shared" si="15"/>
        <v>M0113-A-205-1</v>
      </c>
      <c r="H1039" s="17">
        <v>315.99</v>
      </c>
      <c r="I1039" s="17">
        <v>316.99</v>
      </c>
    </row>
    <row r="1040" spans="1:9">
      <c r="A1040" s="17">
        <v>501</v>
      </c>
      <c r="B1040" s="17" t="s">
        <v>105</v>
      </c>
      <c r="C1040" s="17" t="s">
        <v>92</v>
      </c>
      <c r="D1040" s="17">
        <v>205</v>
      </c>
      <c r="E1040" s="17" t="s">
        <v>95</v>
      </c>
      <c r="F1040" s="17">
        <v>2</v>
      </c>
      <c r="G1040" s="17" t="str">
        <f t="shared" si="15"/>
        <v>M0113-A-205-2</v>
      </c>
      <c r="H1040" s="17">
        <v>316.99</v>
      </c>
      <c r="I1040" s="17">
        <v>317.43</v>
      </c>
    </row>
    <row r="1041" spans="1:9">
      <c r="A1041" s="17">
        <v>501</v>
      </c>
      <c r="B1041" s="17" t="s">
        <v>105</v>
      </c>
      <c r="C1041" s="17" t="s">
        <v>92</v>
      </c>
      <c r="D1041" s="17">
        <v>205</v>
      </c>
      <c r="E1041" s="17" t="s">
        <v>95</v>
      </c>
      <c r="F1041" s="17">
        <v>3</v>
      </c>
      <c r="G1041" s="17" t="str">
        <f t="shared" si="15"/>
        <v>M0113-A-205-3</v>
      </c>
      <c r="H1041" s="17">
        <v>317.43</v>
      </c>
      <c r="I1041" s="17">
        <v>317.56</v>
      </c>
    </row>
    <row r="1042" spans="1:9">
      <c r="A1042" s="17">
        <v>501</v>
      </c>
      <c r="B1042" s="17" t="s">
        <v>105</v>
      </c>
      <c r="C1042" s="17" t="s">
        <v>92</v>
      </c>
      <c r="D1042" s="17">
        <v>206</v>
      </c>
      <c r="E1042" s="17" t="s">
        <v>95</v>
      </c>
      <c r="F1042" s="17">
        <v>1</v>
      </c>
      <c r="G1042" s="17" t="str">
        <f t="shared" si="15"/>
        <v>M0113-A-206-1</v>
      </c>
      <c r="H1042" s="17">
        <v>317.49</v>
      </c>
      <c r="I1042" s="17">
        <v>318.92</v>
      </c>
    </row>
    <row r="1043" spans="1:9">
      <c r="A1043" s="17">
        <v>501</v>
      </c>
      <c r="B1043" s="17" t="s">
        <v>105</v>
      </c>
      <c r="C1043" s="17" t="s">
        <v>92</v>
      </c>
      <c r="D1043" s="17">
        <v>207</v>
      </c>
      <c r="E1043" s="17" t="s">
        <v>95</v>
      </c>
      <c r="F1043" s="17">
        <v>1</v>
      </c>
      <c r="G1043" s="17" t="str">
        <f t="shared" si="15"/>
        <v>M0113-A-207-1</v>
      </c>
      <c r="H1043" s="17">
        <v>318.99</v>
      </c>
      <c r="I1043" s="17">
        <v>319.99</v>
      </c>
    </row>
    <row r="1044" spans="1:9">
      <c r="A1044" s="17">
        <v>501</v>
      </c>
      <c r="B1044" s="17" t="s">
        <v>105</v>
      </c>
      <c r="C1044" s="17" t="s">
        <v>92</v>
      </c>
      <c r="D1044" s="17">
        <v>207</v>
      </c>
      <c r="E1044" s="17" t="s">
        <v>95</v>
      </c>
      <c r="F1044" s="17">
        <v>2</v>
      </c>
      <c r="G1044" s="17" t="str">
        <f t="shared" si="15"/>
        <v>M0113-A-207-2</v>
      </c>
      <c r="H1044" s="17">
        <v>319.99</v>
      </c>
      <c r="I1044" s="17">
        <v>320.56</v>
      </c>
    </row>
    <row r="1045" spans="1:9">
      <c r="A1045" s="17">
        <v>501</v>
      </c>
      <c r="B1045" s="17" t="s">
        <v>105</v>
      </c>
      <c r="C1045" s="17" t="s">
        <v>92</v>
      </c>
      <c r="D1045" s="17">
        <v>208</v>
      </c>
      <c r="E1045" s="17" t="s">
        <v>95</v>
      </c>
      <c r="F1045" s="17">
        <v>1</v>
      </c>
      <c r="G1045" s="17" t="str">
        <f t="shared" si="15"/>
        <v>M0113-A-208-1</v>
      </c>
      <c r="H1045" s="17">
        <v>320.49</v>
      </c>
      <c r="I1045" s="17">
        <v>321.77</v>
      </c>
    </row>
    <row r="1046" spans="1:9">
      <c r="A1046" s="17">
        <v>501</v>
      </c>
      <c r="B1046" s="17" t="s">
        <v>105</v>
      </c>
      <c r="C1046" s="17" t="s">
        <v>92</v>
      </c>
      <c r="D1046" s="17">
        <v>209</v>
      </c>
      <c r="E1046" s="17" t="s">
        <v>95</v>
      </c>
      <c r="F1046" s="17">
        <v>1</v>
      </c>
      <c r="G1046" s="17" t="str">
        <f t="shared" si="15"/>
        <v>M0113-A-209-1</v>
      </c>
      <c r="H1046" s="17">
        <v>321.99</v>
      </c>
      <c r="I1046" s="17">
        <v>323.49</v>
      </c>
    </row>
    <row r="1047" spans="1:9">
      <c r="A1047" s="17">
        <v>501</v>
      </c>
      <c r="B1047" s="17" t="s">
        <v>105</v>
      </c>
      <c r="C1047" s="17" t="s">
        <v>92</v>
      </c>
      <c r="D1047" s="17">
        <v>209</v>
      </c>
      <c r="E1047" s="17" t="s">
        <v>95</v>
      </c>
      <c r="F1047" s="17">
        <v>2</v>
      </c>
      <c r="G1047" s="17" t="str">
        <f t="shared" si="15"/>
        <v>M0113-A-209-2</v>
      </c>
      <c r="H1047" s="17">
        <v>323.49</v>
      </c>
      <c r="I1047" s="17">
        <v>323.89</v>
      </c>
    </row>
    <row r="1048" spans="1:9">
      <c r="A1048" s="17">
        <v>501</v>
      </c>
      <c r="B1048" s="17" t="s">
        <v>105</v>
      </c>
      <c r="C1048" s="17" t="s">
        <v>92</v>
      </c>
      <c r="D1048" s="17">
        <v>210</v>
      </c>
      <c r="E1048" s="17" t="s">
        <v>95</v>
      </c>
      <c r="F1048" s="17">
        <v>1</v>
      </c>
      <c r="G1048" s="17" t="str">
        <f t="shared" si="15"/>
        <v>M0113-A-210-1</v>
      </c>
      <c r="H1048" s="17">
        <v>323.49</v>
      </c>
      <c r="I1048" s="17">
        <v>324.01</v>
      </c>
    </row>
    <row r="1049" spans="1:9">
      <c r="A1049" s="17">
        <v>501</v>
      </c>
      <c r="B1049" s="17" t="s">
        <v>105</v>
      </c>
      <c r="C1049" s="17" t="s">
        <v>92</v>
      </c>
      <c r="D1049" s="17">
        <v>210</v>
      </c>
      <c r="E1049" s="17" t="s">
        <v>95</v>
      </c>
      <c r="F1049" s="17">
        <v>2</v>
      </c>
      <c r="G1049" s="17" t="str">
        <f t="shared" si="15"/>
        <v>M0113-A-210-2</v>
      </c>
      <c r="H1049" s="17">
        <v>324.01</v>
      </c>
      <c r="I1049" s="17">
        <v>325.10000000000002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C8333-A78B-B143-8092-F9EE03A58488}">
  <dimension ref="A1:H107"/>
  <sheetViews>
    <sheetView workbookViewId="0">
      <selection activeCell="A13" sqref="A13:B13"/>
    </sheetView>
  </sheetViews>
  <sheetFormatPr defaultColWidth="10.90625" defaultRowHeight="15"/>
  <cols>
    <col min="1" max="1" width="35.6328125" customWidth="1"/>
    <col min="2" max="2" width="25.453125" customWidth="1"/>
    <col min="3" max="3" width="14" customWidth="1"/>
    <col min="6" max="6" width="20.6328125" style="13" customWidth="1"/>
    <col min="7" max="7" width="20.1796875" style="13" customWidth="1"/>
    <col min="8" max="8" width="7.1796875" style="13" bestFit="1" customWidth="1"/>
  </cols>
  <sheetData>
    <row r="1" spans="1:4" ht="15.6">
      <c r="A1" s="15" t="s">
        <v>71</v>
      </c>
      <c r="B1" s="15" t="s">
        <v>72</v>
      </c>
      <c r="C1" s="15" t="s">
        <v>49</v>
      </c>
    </row>
    <row r="2" spans="1:4">
      <c r="A2" s="13" t="s">
        <v>59</v>
      </c>
      <c r="B2" s="13" t="s">
        <v>60</v>
      </c>
      <c r="C2" s="13">
        <v>32</v>
      </c>
    </row>
    <row r="3" spans="1:4">
      <c r="A3" s="13"/>
      <c r="B3" s="13"/>
      <c r="C3" s="13"/>
    </row>
    <row r="4" spans="1:4">
      <c r="A4" s="13" t="s">
        <v>61</v>
      </c>
      <c r="B4" s="13" t="s">
        <v>62</v>
      </c>
      <c r="C4" s="13">
        <v>30</v>
      </c>
      <c r="D4" s="9"/>
    </row>
    <row r="5" spans="1:4">
      <c r="A5" s="13" t="s">
        <v>57</v>
      </c>
      <c r="B5" s="13" t="s">
        <v>58</v>
      </c>
      <c r="C5" s="13">
        <v>12</v>
      </c>
    </row>
    <row r="6" spans="1:4">
      <c r="A6" s="13" t="s">
        <v>63</v>
      </c>
      <c r="B6" s="13" t="s">
        <v>64</v>
      </c>
      <c r="C6" s="13">
        <v>6</v>
      </c>
    </row>
    <row r="7" spans="1:4">
      <c r="A7" s="13" t="s">
        <v>65</v>
      </c>
      <c r="B7" s="13" t="s">
        <v>66</v>
      </c>
      <c r="C7" s="13">
        <v>25</v>
      </c>
    </row>
    <row r="8" spans="1:4">
      <c r="A8" s="13"/>
      <c r="B8" s="13"/>
      <c r="C8" s="13"/>
    </row>
    <row r="9" spans="1:4">
      <c r="A9" s="13" t="s">
        <v>67</v>
      </c>
      <c r="B9" s="13" t="s">
        <v>67</v>
      </c>
      <c r="C9" s="13">
        <v>32</v>
      </c>
    </row>
    <row r="10" spans="1:4">
      <c r="A10" s="13" t="s">
        <v>67</v>
      </c>
      <c r="B10" s="13" t="s">
        <v>68</v>
      </c>
      <c r="C10" s="13">
        <v>12</v>
      </c>
      <c r="D10" s="9"/>
    </row>
    <row r="11" spans="1:4">
      <c r="A11" s="13" t="s">
        <v>69</v>
      </c>
      <c r="B11" s="13" t="s">
        <v>70</v>
      </c>
      <c r="C11" s="13">
        <v>6</v>
      </c>
    </row>
    <row r="12" spans="1:4">
      <c r="A12" s="13"/>
      <c r="B12" s="13"/>
      <c r="C12" s="13"/>
    </row>
    <row r="13" spans="1:4">
      <c r="A13" s="13" t="s">
        <v>73</v>
      </c>
      <c r="B13" s="13" t="s">
        <v>75</v>
      </c>
      <c r="C13" s="13">
        <v>32</v>
      </c>
    </row>
    <row r="14" spans="1:4">
      <c r="A14" s="13" t="s">
        <v>74</v>
      </c>
      <c r="B14" s="13" t="s">
        <v>76</v>
      </c>
      <c r="C14" s="13">
        <v>12</v>
      </c>
      <c r="D14" s="9"/>
    </row>
    <row r="15" spans="1:4">
      <c r="A15" s="13" t="s">
        <v>77</v>
      </c>
      <c r="B15" s="13" t="s">
        <v>76</v>
      </c>
      <c r="C15" s="13">
        <v>4</v>
      </c>
    </row>
    <row r="16" spans="1:4">
      <c r="A16" s="13"/>
      <c r="B16" s="13"/>
      <c r="C16" s="13"/>
    </row>
    <row r="17" spans="1:4">
      <c r="A17" s="13" t="s">
        <v>78</v>
      </c>
      <c r="B17" s="13" t="s">
        <v>79</v>
      </c>
      <c r="C17" s="13">
        <v>27</v>
      </c>
    </row>
    <row r="18" spans="1:4">
      <c r="A18" s="13" t="s">
        <v>80</v>
      </c>
      <c r="B18" s="13" t="s">
        <v>81</v>
      </c>
      <c r="C18" s="13">
        <v>6</v>
      </c>
    </row>
    <row r="19" spans="1:4">
      <c r="A19" s="13"/>
      <c r="B19" s="13"/>
      <c r="C19" s="13"/>
    </row>
    <row r="20" spans="1:4">
      <c r="A20" s="13" t="s">
        <v>82</v>
      </c>
      <c r="B20" s="13" t="s">
        <v>83</v>
      </c>
      <c r="C20" s="13">
        <v>27</v>
      </c>
    </row>
    <row r="21" spans="1:4">
      <c r="A21" s="13" t="s">
        <v>84</v>
      </c>
      <c r="B21" s="13" t="s">
        <v>85</v>
      </c>
      <c r="C21" s="13">
        <v>18</v>
      </c>
    </row>
    <row r="22" spans="1:4">
      <c r="A22" s="13" t="s">
        <v>86</v>
      </c>
      <c r="B22" s="13" t="s">
        <v>87</v>
      </c>
      <c r="C22" s="13">
        <v>29</v>
      </c>
    </row>
    <row r="23" spans="1:4">
      <c r="C23" s="9"/>
    </row>
    <row r="24" spans="1:4">
      <c r="C24" s="9"/>
    </row>
    <row r="25" spans="1:4">
      <c r="C25" s="9"/>
    </row>
    <row r="26" spans="1:4">
      <c r="C26" s="9"/>
    </row>
    <row r="27" spans="1:4">
      <c r="C27" s="9"/>
    </row>
    <row r="28" spans="1:4">
      <c r="C28" s="9"/>
    </row>
    <row r="29" spans="1:4">
      <c r="C29" s="9"/>
    </row>
    <row r="30" spans="1:4">
      <c r="C30" s="9"/>
    </row>
    <row r="31" spans="1:4">
      <c r="C31" s="9"/>
    </row>
    <row r="32" spans="1:4">
      <c r="C32" s="9"/>
      <c r="D32" s="9"/>
    </row>
    <row r="33" spans="3:3">
      <c r="C33" s="9"/>
    </row>
    <row r="34" spans="3:3">
      <c r="C34" s="9"/>
    </row>
    <row r="35" spans="3:3">
      <c r="C35" s="9"/>
    </row>
    <row r="36" spans="3:3">
      <c r="C36" s="9"/>
    </row>
    <row r="37" spans="3:3">
      <c r="C37" s="9"/>
    </row>
    <row r="38" spans="3:3">
      <c r="C38" s="9"/>
    </row>
    <row r="39" spans="3:3">
      <c r="C39" s="9"/>
    </row>
    <row r="40" spans="3:3">
      <c r="C40" s="9"/>
    </row>
    <row r="41" spans="3:3">
      <c r="C41" s="9"/>
    </row>
    <row r="42" spans="3:3">
      <c r="C42" s="9"/>
    </row>
    <row r="43" spans="3:3">
      <c r="C43" s="9"/>
    </row>
    <row r="44" spans="3:3">
      <c r="C44" s="9"/>
    </row>
    <row r="45" spans="3:3">
      <c r="C45" s="9"/>
    </row>
    <row r="46" spans="3:3">
      <c r="C46" s="9"/>
    </row>
    <row r="47" spans="3:3">
      <c r="C47" s="9"/>
    </row>
    <row r="48" spans="3:3">
      <c r="C48" s="9"/>
    </row>
    <row r="49" spans="3:3">
      <c r="C49" s="9"/>
    </row>
    <row r="50" spans="3:3">
      <c r="C50" s="9"/>
    </row>
    <row r="51" spans="3:3">
      <c r="C51" s="9"/>
    </row>
    <row r="52" spans="3:3">
      <c r="C52" s="9"/>
    </row>
    <row r="53" spans="3:3">
      <c r="C53" s="9"/>
    </row>
    <row r="54" spans="3:3">
      <c r="C54" s="9"/>
    </row>
    <row r="55" spans="3:3">
      <c r="C55" s="9"/>
    </row>
    <row r="56" spans="3:3">
      <c r="C56" s="9"/>
    </row>
    <row r="57" spans="3:3">
      <c r="C57" s="9"/>
    </row>
    <row r="58" spans="3:3">
      <c r="C58" s="9"/>
    </row>
    <row r="59" spans="3:3">
      <c r="C59" s="9"/>
    </row>
    <row r="60" spans="3:3">
      <c r="C60" s="9"/>
    </row>
    <row r="61" spans="3:3">
      <c r="C61" s="9"/>
    </row>
    <row r="62" spans="3:3">
      <c r="C62" s="9"/>
    </row>
    <row r="63" spans="3:3">
      <c r="C63" s="9"/>
    </row>
    <row r="64" spans="3:3">
      <c r="C64" s="9"/>
    </row>
    <row r="65" spans="3:3">
      <c r="C65" s="9"/>
    </row>
    <row r="66" spans="3:3">
      <c r="C66" s="9"/>
    </row>
    <row r="67" spans="3:3">
      <c r="C67" s="9"/>
    </row>
    <row r="68" spans="3:3">
      <c r="C68" s="9"/>
    </row>
    <row r="69" spans="3:3">
      <c r="C69" s="9"/>
    </row>
    <row r="70" spans="3:3">
      <c r="C70" s="9"/>
    </row>
    <row r="71" spans="3:3">
      <c r="C71" s="9"/>
    </row>
    <row r="72" spans="3:3">
      <c r="C72" s="9"/>
    </row>
    <row r="73" spans="3:3">
      <c r="C73" s="9"/>
    </row>
    <row r="74" spans="3:3">
      <c r="C74" s="9"/>
    </row>
    <row r="75" spans="3:3">
      <c r="C75" s="9"/>
    </row>
    <row r="76" spans="3:3">
      <c r="C76" s="9"/>
    </row>
    <row r="77" spans="3:3">
      <c r="C77" s="9"/>
    </row>
    <row r="78" spans="3:3">
      <c r="C78" s="9"/>
    </row>
    <row r="79" spans="3:3">
      <c r="C79" s="9"/>
    </row>
    <row r="80" spans="3:3">
      <c r="C80" s="9"/>
    </row>
    <row r="81" spans="3:4">
      <c r="C81" s="9"/>
    </row>
    <row r="82" spans="3:4">
      <c r="C82" s="9"/>
    </row>
    <row r="83" spans="3:4">
      <c r="C83" s="9"/>
    </row>
    <row r="84" spans="3:4">
      <c r="C84" s="9"/>
    </row>
    <row r="85" spans="3:4">
      <c r="C85" s="9"/>
    </row>
    <row r="86" spans="3:4">
      <c r="C86" s="9"/>
    </row>
    <row r="87" spans="3:4">
      <c r="C87" s="9"/>
    </row>
    <row r="88" spans="3:4">
      <c r="C88" s="9"/>
    </row>
    <row r="89" spans="3:4">
      <c r="C89" s="9"/>
      <c r="D89" s="9"/>
    </row>
    <row r="90" spans="3:4">
      <c r="C90" s="9"/>
    </row>
    <row r="91" spans="3:4">
      <c r="C91" s="9"/>
    </row>
    <row r="92" spans="3:4">
      <c r="C92" s="9"/>
    </row>
    <row r="93" spans="3:4">
      <c r="C93" s="9"/>
    </row>
    <row r="94" spans="3:4">
      <c r="C94" s="9"/>
    </row>
    <row r="95" spans="3:4">
      <c r="C95" s="9"/>
    </row>
    <row r="96" spans="3:4">
      <c r="C96" s="9"/>
    </row>
    <row r="97" spans="3:4">
      <c r="C97" s="9"/>
    </row>
    <row r="98" spans="3:4">
      <c r="C98" s="9"/>
    </row>
    <row r="99" spans="3:4">
      <c r="C99" s="9"/>
    </row>
    <row r="100" spans="3:4">
      <c r="C100" s="9"/>
    </row>
    <row r="101" spans="3:4">
      <c r="C101" s="9"/>
    </row>
    <row r="102" spans="3:4">
      <c r="C102" s="9"/>
    </row>
    <row r="103" spans="3:4">
      <c r="C103" s="9"/>
      <c r="D103" s="9"/>
    </row>
    <row r="104" spans="3:4">
      <c r="C104" s="9"/>
    </row>
    <row r="105" spans="3:4">
      <c r="C105" s="9"/>
    </row>
    <row r="106" spans="3:4">
      <c r="C106" s="9"/>
    </row>
    <row r="107" spans="3:4">
      <c r="C107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CDCF5-09B8-3142-959C-B95C19049864}">
  <dimension ref="A2:J20"/>
  <sheetViews>
    <sheetView topLeftCell="C1" workbookViewId="0">
      <selection activeCell="G6" sqref="G6"/>
    </sheetView>
  </sheetViews>
  <sheetFormatPr defaultColWidth="10.90625" defaultRowHeight="15"/>
  <cols>
    <col min="3" max="3" width="64.1796875" customWidth="1"/>
    <col min="4" max="4" width="13" bestFit="1" customWidth="1"/>
    <col min="5" max="5" width="12.81640625" bestFit="1" customWidth="1"/>
    <col min="7" max="7" width="9" customWidth="1"/>
    <col min="11" max="11" width="13.81640625" customWidth="1"/>
  </cols>
  <sheetData>
    <row r="2" spans="1:10" ht="16.8">
      <c r="A2" s="3" t="s">
        <v>1</v>
      </c>
      <c r="B2" s="1"/>
      <c r="C2" s="4" t="s">
        <v>12</v>
      </c>
      <c r="E2" s="1"/>
      <c r="F2" s="1"/>
      <c r="G2" s="1"/>
      <c r="H2" s="1"/>
      <c r="I2" s="1"/>
      <c r="J2" s="1"/>
    </row>
    <row r="3" spans="1:10" ht="16.2">
      <c r="C3" s="5"/>
    </row>
    <row r="4" spans="1:10" ht="16.2">
      <c r="C4" s="5"/>
    </row>
    <row r="5" spans="1:10" ht="64.8">
      <c r="C5" s="8" t="s">
        <v>25</v>
      </c>
      <c r="G5">
        <v>20</v>
      </c>
    </row>
    <row r="6" spans="1:10" ht="15.6">
      <c r="C6" s="6" t="s">
        <v>2</v>
      </c>
      <c r="D6" s="6"/>
      <c r="F6" t="s">
        <v>13</v>
      </c>
      <c r="G6">
        <f>$D9+$D10*G5+($D11*(G5^2))+($D12*(G5^3))+($D13*(G5^4))+($D14*(G5^5))</f>
        <v>47.893292800000005</v>
      </c>
      <c r="I6" s="6"/>
    </row>
    <row r="7" spans="1:10" ht="16.2">
      <c r="C7" s="5" t="s">
        <v>3</v>
      </c>
    </row>
    <row r="9" spans="1:10" ht="16.2">
      <c r="C9" s="5" t="s">
        <v>6</v>
      </c>
      <c r="D9">
        <v>29.051279999999998</v>
      </c>
      <c r="I9" s="5"/>
    </row>
    <row r="10" spans="1:10" ht="16.2">
      <c r="C10" s="5" t="s">
        <v>7</v>
      </c>
      <c r="D10">
        <v>0.88082000000000005</v>
      </c>
      <c r="I10" s="5"/>
    </row>
    <row r="11" spans="1:10" ht="16.2">
      <c r="C11" s="5" t="s">
        <v>8</v>
      </c>
      <c r="D11">
        <v>-1.9831199999999999E-4</v>
      </c>
      <c r="I11" s="5"/>
    </row>
    <row r="12" spans="1:10" ht="16.2">
      <c r="C12" s="5" t="s">
        <v>9</v>
      </c>
      <c r="D12">
        <v>3.3363000000000002E-4</v>
      </c>
      <c r="I12" s="5"/>
    </row>
    <row r="13" spans="1:10" ht="16.2">
      <c r="C13" s="5" t="s">
        <v>10</v>
      </c>
      <c r="D13">
        <v>-1.0776E-5</v>
      </c>
      <c r="I13" s="5"/>
    </row>
    <row r="14" spans="1:10" ht="16.2">
      <c r="C14" s="5" t="s">
        <v>11</v>
      </c>
      <c r="D14">
        <v>1.12518E-7</v>
      </c>
      <c r="I14" s="5"/>
    </row>
    <row r="16" spans="1:10" ht="16.8">
      <c r="C16" s="5" t="s">
        <v>4</v>
      </c>
    </row>
    <row r="17" spans="3:4" ht="15.6">
      <c r="C17" s="6" t="s">
        <v>14</v>
      </c>
      <c r="D17" s="6"/>
    </row>
    <row r="18" spans="3:4" ht="130.19999999999999">
      <c r="C18" s="8" t="s">
        <v>15</v>
      </c>
    </row>
    <row r="19" spans="3:4" ht="15.6">
      <c r="C19" s="7" t="s">
        <v>5</v>
      </c>
      <c r="D19" s="6"/>
    </row>
    <row r="20" spans="3:4" ht="16.2">
      <c r="C20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766A-0328-B64E-89D2-7604ACB0F8E9}">
  <dimension ref="A2:P24"/>
  <sheetViews>
    <sheetView topLeftCell="F18" zoomScale="120" zoomScaleNormal="120" workbookViewId="0">
      <selection activeCell="K23" sqref="K23"/>
    </sheetView>
  </sheetViews>
  <sheetFormatPr defaultColWidth="10.90625" defaultRowHeight="15"/>
  <cols>
    <col min="4" max="4" width="12.6328125" bestFit="1" customWidth="1"/>
    <col min="8" max="8" width="13" customWidth="1"/>
    <col min="9" max="9" width="12.6328125" customWidth="1"/>
    <col min="10" max="10" width="15.6328125" customWidth="1"/>
    <col min="12" max="12" width="10.1796875" customWidth="1"/>
    <col min="13" max="13" width="12.453125" customWidth="1"/>
    <col min="14" max="14" width="14.36328125" customWidth="1"/>
    <col min="15" max="15" width="12" customWidth="1"/>
  </cols>
  <sheetData>
    <row r="2" spans="1:16">
      <c r="F2" t="s">
        <v>33</v>
      </c>
    </row>
    <row r="3" spans="1:16">
      <c r="A3" t="s">
        <v>29</v>
      </c>
      <c r="F3" t="s">
        <v>32</v>
      </c>
      <c r="H3" t="s">
        <v>43</v>
      </c>
      <c r="I3" t="s">
        <v>44</v>
      </c>
      <c r="L3" t="s">
        <v>45</v>
      </c>
    </row>
    <row r="4" spans="1:16">
      <c r="D4">
        <v>50</v>
      </c>
      <c r="H4">
        <v>9.9969999999999999</v>
      </c>
      <c r="I4">
        <v>1.3349599999999999</v>
      </c>
      <c r="J4">
        <v>1.3349800000000001</v>
      </c>
      <c r="K4">
        <v>1.3349599999999999</v>
      </c>
      <c r="L4">
        <f>AVERAGE(I4:K4)</f>
        <v>1.3349666666666666</v>
      </c>
    </row>
    <row r="5" spans="1:16" ht="15.6">
      <c r="A5" s="11"/>
      <c r="B5" s="11">
        <v>0</v>
      </c>
      <c r="C5" s="11">
        <v>34.993000000000002</v>
      </c>
      <c r="D5" s="15" t="s">
        <v>34</v>
      </c>
      <c r="E5" s="15" t="s">
        <v>35</v>
      </c>
      <c r="F5" t="s">
        <v>50</v>
      </c>
      <c r="H5">
        <v>30</v>
      </c>
      <c r="I5">
        <v>1.3386</v>
      </c>
      <c r="J5">
        <v>1.3386</v>
      </c>
      <c r="K5">
        <v>1.33863</v>
      </c>
      <c r="L5">
        <f t="shared" ref="L5:L8" si="0">AVERAGE(I5:K5)</f>
        <v>1.3386100000000001</v>
      </c>
    </row>
    <row r="6" spans="1:16" ht="15.6">
      <c r="A6" s="11">
        <f>0</f>
        <v>0</v>
      </c>
      <c r="B6" s="13">
        <v>1</v>
      </c>
      <c r="C6" s="13">
        <v>0</v>
      </c>
      <c r="D6" s="14">
        <f>B6*$D$4</f>
        <v>50</v>
      </c>
      <c r="E6" s="14">
        <f>$D$4-D6</f>
        <v>0</v>
      </c>
      <c r="F6" s="9">
        <v>0</v>
      </c>
      <c r="H6">
        <v>34.993000000000002</v>
      </c>
      <c r="I6">
        <v>1.33958</v>
      </c>
      <c r="J6">
        <v>1.3395999999999999</v>
      </c>
      <c r="K6">
        <v>1.33958</v>
      </c>
      <c r="L6">
        <f t="shared" si="0"/>
        <v>1.3395866666666665</v>
      </c>
    </row>
    <row r="7" spans="1:16" ht="15.6">
      <c r="A7" s="11">
        <v>2</v>
      </c>
      <c r="B7" s="14">
        <f>1-C7</f>
        <v>0.94284571199954281</v>
      </c>
      <c r="C7" s="14">
        <f>A7/$C$5</f>
        <v>5.7154288000457229E-2</v>
      </c>
      <c r="D7" s="14">
        <f>B7*$D$4</f>
        <v>47.142285599977143</v>
      </c>
      <c r="E7" s="14">
        <f t="shared" ref="E7:E10" si="1">$D$4-D7</f>
        <v>2.8577144000228571</v>
      </c>
      <c r="F7" s="9">
        <v>3</v>
      </c>
      <c r="H7">
        <v>37.999000000000002</v>
      </c>
      <c r="I7">
        <v>1.34015</v>
      </c>
      <c r="J7">
        <v>1.34013</v>
      </c>
      <c r="K7">
        <v>1.3401099999999999</v>
      </c>
      <c r="L7">
        <f t="shared" si="0"/>
        <v>1.34013</v>
      </c>
    </row>
    <row r="8" spans="1:16" ht="15.6">
      <c r="A8" s="11">
        <v>5</v>
      </c>
      <c r="B8" s="14">
        <f t="shared" ref="B8:B11" si="2">1-C8</f>
        <v>0.85711427999885692</v>
      </c>
      <c r="C8" s="14">
        <f t="shared" ref="C8:C11" si="3">A8/$C$5</f>
        <v>0.14288572000114308</v>
      </c>
      <c r="D8" s="14">
        <f t="shared" ref="D8:D10" si="4">B8*$D$4</f>
        <v>42.855713999942843</v>
      </c>
      <c r="E8" s="14">
        <f t="shared" si="1"/>
        <v>7.1442860000571571</v>
      </c>
      <c r="F8" s="9">
        <v>3.57</v>
      </c>
      <c r="H8">
        <v>9.9969999999999999</v>
      </c>
      <c r="I8">
        <v>1.33491</v>
      </c>
      <c r="J8">
        <v>1.33491</v>
      </c>
      <c r="K8">
        <v>1.33491</v>
      </c>
      <c r="L8">
        <f t="shared" si="0"/>
        <v>1.33491</v>
      </c>
    </row>
    <row r="9" spans="1:16" ht="15.6">
      <c r="A9" s="11">
        <v>10</v>
      </c>
      <c r="B9" s="14">
        <f t="shared" si="2"/>
        <v>0.71422855999771384</v>
      </c>
      <c r="C9" s="14">
        <f t="shared" si="3"/>
        <v>0.28577144000228616</v>
      </c>
      <c r="D9" s="14">
        <f t="shared" si="4"/>
        <v>35.711427999885693</v>
      </c>
      <c r="E9" s="14">
        <f t="shared" si="1"/>
        <v>14.288572000114307</v>
      </c>
      <c r="F9" s="9"/>
    </row>
    <row r="10" spans="1:16" ht="15.6">
      <c r="A10" s="11">
        <v>25</v>
      </c>
      <c r="B10" s="14">
        <f t="shared" si="2"/>
        <v>0.2855713999942846</v>
      </c>
      <c r="C10" s="14">
        <f t="shared" si="3"/>
        <v>0.7144286000057154</v>
      </c>
      <c r="D10" s="14">
        <f t="shared" si="4"/>
        <v>14.278569999714231</v>
      </c>
      <c r="E10" s="14">
        <f t="shared" si="1"/>
        <v>35.721430000285771</v>
      </c>
      <c r="F10" s="9"/>
      <c r="H10" t="s">
        <v>46</v>
      </c>
      <c r="I10">
        <f>SLOPE(L4:L8,H4:H8)</f>
        <v>1.8533043380507868E-4</v>
      </c>
      <c r="J10" t="s">
        <v>53</v>
      </c>
      <c r="K10">
        <v>34.993000000000002</v>
      </c>
    </row>
    <row r="11" spans="1:16" ht="15.6">
      <c r="A11" s="11">
        <v>35</v>
      </c>
      <c r="B11" s="14">
        <f t="shared" si="2"/>
        <v>-2.000400080015563E-4</v>
      </c>
      <c r="C11" s="14">
        <f t="shared" si="3"/>
        <v>1.0002000400080016</v>
      </c>
      <c r="D11" s="14">
        <v>0</v>
      </c>
      <c r="E11" s="14">
        <f>$D$4-D11</f>
        <v>50</v>
      </c>
      <c r="H11" t="s">
        <v>47</v>
      </c>
      <c r="I11">
        <f>INTERCEPT(L4:L8,H4:H8)</f>
        <v>1.3330820569202764</v>
      </c>
    </row>
    <row r="12" spans="1:16">
      <c r="H12" t="s">
        <v>48</v>
      </c>
      <c r="I12">
        <f>RSQ(L4:L8,H4:H8)</f>
        <v>0.9998802323961663</v>
      </c>
    </row>
    <row r="13" spans="1:16">
      <c r="D13" t="s">
        <v>36</v>
      </c>
      <c r="E13" s="12">
        <f>SUM(E6:E11)</f>
        <v>110.0120024004801</v>
      </c>
    </row>
    <row r="14" spans="1:16" s="1" customFormat="1" ht="46.95" customHeight="1">
      <c r="H14" s="10" t="s">
        <v>40</v>
      </c>
      <c r="I14" s="10" t="s">
        <v>40</v>
      </c>
      <c r="J14" s="10" t="s">
        <v>40</v>
      </c>
      <c r="K14" s="10" t="s">
        <v>45</v>
      </c>
      <c r="L14" s="10" t="s">
        <v>49</v>
      </c>
      <c r="M14" s="2" t="s">
        <v>41</v>
      </c>
      <c r="N14" s="2" t="s">
        <v>42</v>
      </c>
      <c r="O14" s="10" t="s">
        <v>51</v>
      </c>
      <c r="P14" s="1" t="s">
        <v>52</v>
      </c>
    </row>
    <row r="15" spans="1:16">
      <c r="A15" t="s">
        <v>38</v>
      </c>
      <c r="H15">
        <v>1.33335</v>
      </c>
      <c r="I15">
        <v>1.3333699999999999</v>
      </c>
      <c r="J15">
        <v>1.33335</v>
      </c>
      <c r="K15">
        <f>AVERAGE(H15:J15)</f>
        <v>1.3333566666666667</v>
      </c>
      <c r="L15" s="16">
        <f>(K15-I$11)/I$10</f>
        <v>1.4817304462751975</v>
      </c>
      <c r="M15">
        <v>3.9180000000000001</v>
      </c>
      <c r="N15">
        <v>20.9</v>
      </c>
      <c r="O15">
        <f>'Temperature Corrections'!$D$9+'Temperature Corrections'!$D$10*$N15+('Temperature Corrections'!$D$11*($N15^2))+('Temperature Corrections'!$D$12*($N15^3))+('Temperature Corrections'!$D$13*($N15^4))+('Temperature Corrections'!$D$14*$N15^5)</f>
        <v>48.812215776731136</v>
      </c>
      <c r="P15">
        <f>M15*O15/'Temperature Corrections'!$G$6</f>
        <v>3.9931742052455532</v>
      </c>
    </row>
    <row r="16" spans="1:16">
      <c r="A16" t="s">
        <v>37</v>
      </c>
      <c r="H16">
        <v>1.3339399999999999</v>
      </c>
      <c r="I16">
        <v>1.33395</v>
      </c>
      <c r="J16">
        <v>1.3339760000000001</v>
      </c>
      <c r="K16">
        <f t="shared" ref="K16:K19" si="5">AVERAGE(H16:J16)</f>
        <v>1.3339553333333332</v>
      </c>
      <c r="L16" s="16">
        <f t="shared" ref="L16:L19" si="6">(K16-I$11)/I$10</f>
        <v>4.711996810924524</v>
      </c>
      <c r="M16">
        <v>8.8989999999999991</v>
      </c>
      <c r="N16">
        <v>20.9</v>
      </c>
      <c r="O16">
        <f>'Temperature Corrections'!$D$9+'Temperature Corrections'!$D$10*$N16+('Temperature Corrections'!$D$11*($N16^2))+('Temperature Corrections'!$D$12*($N16^3))+('Temperature Corrections'!$D$13*($N16^4))+('Temperature Corrections'!$D$14*$N16^5)</f>
        <v>48.812215776731136</v>
      </c>
      <c r="P16">
        <f>M16*O16/'Temperature Corrections'!$G$6</f>
        <v>9.0697440664829436</v>
      </c>
    </row>
    <row r="17" spans="1:16">
      <c r="A17" t="s">
        <v>39</v>
      </c>
      <c r="H17">
        <v>1.3349200000000001</v>
      </c>
      <c r="I17">
        <v>1.3349200000000001</v>
      </c>
      <c r="J17">
        <v>1.33491</v>
      </c>
      <c r="K17">
        <f t="shared" si="5"/>
        <v>1.3349166666666668</v>
      </c>
      <c r="L17" s="16">
        <f t="shared" si="6"/>
        <v>9.8991283229819231</v>
      </c>
      <c r="M17">
        <v>16.8</v>
      </c>
      <c r="N17">
        <v>20.9</v>
      </c>
      <c r="O17">
        <f>'Temperature Corrections'!$D$9+'Temperature Corrections'!$D$10*$N17+('Temperature Corrections'!$D$11*($N17^2))+('Temperature Corrections'!$D$12*($N17^3))+('Temperature Corrections'!$D$13*($N17^4))+('Temperature Corrections'!$D$14*$N17^5)</f>
        <v>48.812215776731136</v>
      </c>
      <c r="P17">
        <f>M17*O17/'Temperature Corrections'!$G$6</f>
        <v>17.122339624330092</v>
      </c>
    </row>
    <row r="18" spans="1:16">
      <c r="H18">
        <v>1.33761</v>
      </c>
      <c r="I18">
        <v>1.33761</v>
      </c>
      <c r="J18">
        <v>1.3375900000000001</v>
      </c>
      <c r="K18">
        <f t="shared" si="5"/>
        <v>1.3376033333333333</v>
      </c>
      <c r="L18" s="16">
        <f t="shared" si="6"/>
        <v>24.395757999531465</v>
      </c>
      <c r="M18">
        <v>38.01</v>
      </c>
      <c r="N18">
        <v>20.9</v>
      </c>
      <c r="O18">
        <f>'Temperature Corrections'!$D$9+'Temperature Corrections'!$D$10*$N18+('Temperature Corrections'!$D$11*($N18^2))+('Temperature Corrections'!$D$12*($N18^3))+('Temperature Corrections'!$D$13*($N18^4))+('Temperature Corrections'!$D$14*$N18^5)</f>
        <v>48.812215776731136</v>
      </c>
      <c r="P18">
        <f>M18*O18/'Temperature Corrections'!$G$6</f>
        <v>38.739293400046826</v>
      </c>
    </row>
    <row r="19" spans="1:16">
      <c r="H19">
        <v>1.33952</v>
      </c>
      <c r="I19">
        <v>1.33952</v>
      </c>
      <c r="J19">
        <v>1.3394999999999999</v>
      </c>
      <c r="K19">
        <f t="shared" si="5"/>
        <v>1.3395133333333333</v>
      </c>
      <c r="L19" s="16">
        <f t="shared" si="6"/>
        <v>34.701674630627906</v>
      </c>
      <c r="M19">
        <v>50.85</v>
      </c>
      <c r="N19">
        <v>21</v>
      </c>
      <c r="O19">
        <f>'Temperature Corrections'!$D$9+'Temperature Corrections'!$D$10*$N19+('Temperature Corrections'!$D$11*($N19^2))+('Temperature Corrections'!$D$12*($N19^3))+('Temperature Corrections'!$D$13*($N19^4))+('Temperature Corrections'!$D$14*$N19^5)</f>
        <v>48.914599458318008</v>
      </c>
      <c r="P19">
        <f>M19*O19/'Temperature Corrections'!$G$6</f>
        <v>51.934357339812529</v>
      </c>
    </row>
    <row r="22" spans="1:16">
      <c r="H22" t="s">
        <v>46</v>
      </c>
      <c r="I22">
        <f>SLOPE(M15:M19,L15:L19)</f>
        <v>1.4212297491707233</v>
      </c>
      <c r="J22" t="s">
        <v>53</v>
      </c>
      <c r="K22">
        <v>34.999400000000001</v>
      </c>
    </row>
    <row r="23" spans="1:16">
      <c r="H23" t="s">
        <v>47</v>
      </c>
      <c r="I23">
        <f>INTERCEPT(M15:M19,L15:L19)</f>
        <v>2.3228651093485304</v>
      </c>
      <c r="K23">
        <f>$K$22*$I$22+$I$23</f>
        <v>52.065053592474342</v>
      </c>
    </row>
    <row r="24" spans="1:16">
      <c r="H24" t="s">
        <v>48</v>
      </c>
      <c r="I24">
        <f>RSQ(M15:M19,L15:L19)</f>
        <v>0.99868758970643556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Calibration</vt:lpstr>
      <vt:lpstr>Data Entry</vt:lpstr>
      <vt:lpstr>Depth vlookup</vt:lpstr>
      <vt:lpstr>salinity data</vt:lpstr>
      <vt:lpstr>Temperature Corrections</vt:lpstr>
      <vt:lpstr>Salinity Corrections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Robinson</dc:creator>
  <cp:lastModifiedBy>iodp</cp:lastModifiedBy>
  <dcterms:created xsi:type="dcterms:W3CDTF">2025-12-10T17:39:40Z</dcterms:created>
  <dcterms:modified xsi:type="dcterms:W3CDTF">2026-01-26T14:46:15Z</dcterms:modified>
</cp:coreProperties>
</file>